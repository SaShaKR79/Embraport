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ccheforbes-my.sharepoint.com/personal/casilva_stoccheforbes_com_br/Documents/Documentos/Embracon/Planilha + Materiais/Versões finais (31.08)/"/>
    </mc:Choice>
  </mc:AlternateContent>
  <xr:revisionPtr revIDLastSave="0" documentId="8_{3388F0D2-5AB3-43F0-98EB-0B1AC83DEAFA}" xr6:coauthVersionLast="47" xr6:coauthVersionMax="47" xr10:uidLastSave="{00000000-0000-0000-0000-000000000000}"/>
  <bookViews>
    <workbookView xWindow="5130" yWindow="-16320" windowWidth="29040" windowHeight="15720" activeTab="1" xr2:uid="{9F143F3C-4A7F-4F50-9B6A-A4BAA8B69D0B}"/>
  </bookViews>
  <sheets>
    <sheet name="Organograma" sheetId="3" r:id="rId1"/>
    <sheet name="Premissas" sheetId="18" r:id="rId12"/>
    <sheet name="Cálculos da Operação" sheetId="15" r:id="rId2"/>
    <sheet name="CPC 19" sheetId="19" r:id="rId13"/>
    <sheet name="Alienação Futura (PJ x PF)" sheetId="17" r:id="rId3"/>
    <sheet name="Conclusão" sheetId="20" r:id="rId14"/>
    <sheet name="Dourada C. e A. SA" sheetId="4" state="hidden" r:id="rId4"/>
    <sheet name="Embracon Franchising" sheetId="10" state="hidden" r:id="rId5"/>
    <sheet name="Embrafisa Consul." sheetId="9" state="hidden" r:id="rId6"/>
    <sheet name="GSJ" sheetId="11" state="hidden" r:id="rId7"/>
  </sheets>
  <definedNames>
    <definedName name="__xlnm_Print_Area_1">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<sst xmlns="http://schemas.openxmlformats.org/spreadsheetml/2006/main" count="349" uniqueCount="277">
  <si>
    <t>DOURADA COMERCIAL E AGROPECUARIA S/A</t>
  </si>
  <si>
    <t>Provisão p/ devedores duvidosos</t>
  </si>
  <si>
    <t>-Excel LALUR 2024</t>
  </si>
  <si>
    <t xml:space="preserve">Incentivos Fiscais </t>
  </si>
  <si>
    <t xml:space="preserve">Base de Cálculo do Incentivo </t>
  </si>
  <si>
    <t xml:space="preserve">Limite de Dedução Individual </t>
  </si>
  <si>
    <t xml:space="preserve">Embasamento Legal </t>
  </si>
  <si>
    <t>Programa de Alimentação ao Trabalhador - PAT</t>
  </si>
  <si>
    <t>objetivo de melhorar as condições nutricionais e de qualidade de vida dos trabalhadores</t>
  </si>
  <si>
    <t>4% do IRPJ devido ANTES ADCIONAL 10%</t>
  </si>
  <si>
    <t>Artigos 491 a 493, 504 a 507, 581 a 587 do RIR/99</t>
  </si>
  <si>
    <t>Doações aos Fundos dos Direitos da Criança e do Adolescente</t>
  </si>
  <si>
    <t>Doações efetivamente realizadas</t>
  </si>
  <si>
    <t>1% do IRPJ devido ANTES ADICIONAL 10%</t>
  </si>
  <si>
    <t>Art. 591 do RIR/99</t>
  </si>
  <si>
    <t>Atividade Audiovisual</t>
  </si>
  <si>
    <t>Valores aplicados na aquisição de certificados de investimentos em projetos aprovados pelo Ministério da Cultura</t>
  </si>
  <si>
    <t>3% do IRPJ devido ANTES ADICIONAL 10%</t>
  </si>
  <si>
    <t>  Artigos 475  478, 484 a 488 do RIR/99</t>
  </si>
  <si>
    <t>LEI DE INCENTIVO A CULTURAL - ROUANET</t>
  </si>
  <si>
    <t>É a lei que institui o Programa Nacional de Apoio à Cultura - PRONAC</t>
  </si>
  <si>
    <t>4% do IRPJ devido ANTES ADICIONAL 10%</t>
  </si>
  <si>
    <t>Base Legal: Lei 8.313/1991; Lei 9.874/1999; Decreto 3.000/1999; Instrução Normativa-SRF 267/2002 e Instrução Normativa-SRF 390/2004.</t>
  </si>
  <si>
    <t>FUNDO MUNICIPAL DO IDOSO - FMI</t>
  </si>
  <si>
    <t xml:space="preserve">doações efetuadas aos respectivos fundos municipais, estaduais e nacional. </t>
  </si>
  <si>
    <t>1% do IRPJ devido ANTES ADCIONAL 10%</t>
  </si>
  <si>
    <t>LEI 12.213</t>
  </si>
  <si>
    <t>LEI DE INCENTIVO AO ESPORTE - LIE</t>
  </si>
  <si>
    <t>Objetiva principalmente incentivar o esporte de um modo geral.</t>
  </si>
  <si>
    <t>LEI 11.438</t>
  </si>
  <si>
    <t>Ativos</t>
  </si>
  <si>
    <t>Passivos</t>
  </si>
  <si>
    <t>Ativos circulantes</t>
  </si>
  <si>
    <t>Passivos circulantes</t>
  </si>
  <si>
    <t>Caixa e equivalentes de caixa</t>
  </si>
  <si>
    <t>Fornecedores</t>
  </si>
  <si>
    <t>Outras contas a receber (adiantamentos)</t>
  </si>
  <si>
    <t>Empréstimos e financiamentos</t>
  </si>
  <si>
    <t>Provisões trab/tribut</t>
  </si>
  <si>
    <t>Passivos não circulantes</t>
  </si>
  <si>
    <t>Investimentos</t>
  </si>
  <si>
    <t>Patrimônio líquido</t>
  </si>
  <si>
    <t>Contas a receber</t>
  </si>
  <si>
    <t>Títulos e valores mobiliários</t>
  </si>
  <si>
    <t>Impostos a compensar</t>
  </si>
  <si>
    <t>Imobilizado</t>
  </si>
  <si>
    <t>Ativo Permanente</t>
  </si>
  <si>
    <t>Dividendos</t>
  </si>
  <si>
    <t>Adiantamento de clientes</t>
  </si>
  <si>
    <t>Capital subscrito e integralizado</t>
  </si>
  <si>
    <t>Reserva de reavaliação</t>
  </si>
  <si>
    <t>Lucros/Prejuízos acumulados</t>
  </si>
  <si>
    <t>Lucro Real</t>
  </si>
  <si>
    <t>Reserva de lucros (reserva legal)</t>
  </si>
  <si>
    <t>Prejuízo Fiscal IRPJ</t>
  </si>
  <si>
    <t>Prejuízo Fiscal CSLL</t>
  </si>
  <si>
    <t>Contas a pagar</t>
  </si>
  <si>
    <t>Base das informações</t>
  </si>
  <si>
    <t>Excel: LALUR</t>
  </si>
  <si>
    <t>EMBRACON FRANCHISING LTDA</t>
  </si>
  <si>
    <t>Lucro Presumido</t>
  </si>
  <si>
    <t>Balanço</t>
  </si>
  <si>
    <t>Titulos e Valores Mobiliários</t>
  </si>
  <si>
    <t>Outros créditos</t>
  </si>
  <si>
    <t xml:space="preserve">Ativo não circulante </t>
  </si>
  <si>
    <t xml:space="preserve">Realizável a longo prazo - outros investimentos </t>
  </si>
  <si>
    <t>Fiscais e previdenciários</t>
  </si>
  <si>
    <t>Capital a integralizar</t>
  </si>
  <si>
    <t>Reseva de Lucros</t>
  </si>
  <si>
    <t/>
  </si>
  <si>
    <t>Caixa e equivalentes</t>
  </si>
  <si>
    <t>clientes</t>
  </si>
  <si>
    <t>adiantamentos</t>
  </si>
  <si>
    <t>Estoques</t>
  </si>
  <si>
    <t>Ações Judiciais</t>
  </si>
  <si>
    <t>Ativo não circulante</t>
  </si>
  <si>
    <t>Obrigações trib.</t>
  </si>
  <si>
    <t>Obrigações Trab.</t>
  </si>
  <si>
    <t>Previsão de adiantamento de clientes</t>
  </si>
  <si>
    <t xml:space="preserve">Reserva de lucros </t>
  </si>
  <si>
    <t>EMBRAFISA CONSUL. EMPRE. CORRE. DE SEGU. E EMPREEND. IMOB. LTDA</t>
  </si>
  <si>
    <t>Caixa e equivalente</t>
  </si>
  <si>
    <t>Titulos e valores mobiliarios</t>
  </si>
  <si>
    <t>Participação societárias</t>
  </si>
  <si>
    <t>Outros creditos</t>
  </si>
  <si>
    <t>Outros investimentos</t>
  </si>
  <si>
    <t>Fiscais e Previdenciarias</t>
  </si>
  <si>
    <t>Diversas</t>
  </si>
  <si>
    <t>Dividendos a pagar</t>
  </si>
  <si>
    <t>Reserva legal</t>
  </si>
  <si>
    <t>reserva de lucros</t>
  </si>
  <si>
    <t>Lucros/Prejuizos acumulados</t>
  </si>
  <si>
    <t>GSJ Balanço</t>
  </si>
  <si>
    <t xml:space="preserve">                         </t>
  </si>
  <si>
    <t>COMPANHIA GSJ DE PART.</t>
  </si>
  <si>
    <t>-</t>
  </si>
  <si>
    <t>Premissas econômicas</t>
  </si>
  <si>
    <t xml:space="preserve">Patrimonio Liquido </t>
  </si>
  <si>
    <t>SAVIAN</t>
  </si>
  <si>
    <t>JVFJ</t>
  </si>
  <si>
    <t>EMBRACON</t>
  </si>
  <si>
    <t>Invest. Embracon</t>
  </si>
  <si>
    <t>Data-base dos balanços</t>
  </si>
  <si>
    <t>30.06.2026</t>
  </si>
  <si>
    <t>Unidade</t>
  </si>
  <si>
    <t>R$ milhões</t>
  </si>
  <si>
    <t>Participação das Partes CNP na incorporação (relação de troca)</t>
  </si>
  <si>
    <t>IRPJ/CSLL — ganho de capital PJ</t>
  </si>
  <si>
    <t>Informações Adicionais</t>
  </si>
  <si>
    <t>Participação Societária (Embracon)</t>
  </si>
  <si>
    <t>Antes</t>
  </si>
  <si>
    <t>Após Inc</t>
  </si>
  <si>
    <t xml:space="preserve">(=) Total </t>
  </si>
  <si>
    <t>PL Embracon (pós inc)</t>
  </si>
  <si>
    <t>Embracon - Incorporação do Acervo</t>
  </si>
  <si>
    <t>Reflexo nas Holdings (MEP) - Custo de Investimento</t>
  </si>
  <si>
    <t>Custo Original (Investimento anterior)</t>
  </si>
  <si>
    <t>Total</t>
  </si>
  <si>
    <t>(+) Incorporação base</t>
  </si>
  <si>
    <t>(-) Diluição (13,8%)</t>
  </si>
  <si>
    <t>(=) Parcela liquida incorporada</t>
  </si>
  <si>
    <t>(=) Custo Incrementado</t>
  </si>
  <si>
    <t>Custo Original</t>
  </si>
  <si>
    <t>Acervo liquido incorporado</t>
  </si>
  <si>
    <t>Custo do Investimento Incrementado (Alternativa)</t>
  </si>
  <si>
    <t>2 x 463,75 -&gt;</t>
  </si>
  <si>
    <t>Lançamentos Contábeis (Holdings)</t>
  </si>
  <si>
    <t>Reflexo da Incorporação</t>
  </si>
  <si>
    <t>Débitos</t>
  </si>
  <si>
    <t>Crédito</t>
  </si>
  <si>
    <t>Perda de diluição</t>
  </si>
  <si>
    <t>(=) Efeito Líquido do Investimento</t>
  </si>
  <si>
    <t xml:space="preserve">SAVIAN </t>
  </si>
  <si>
    <t>1) Incorporação CNPH</t>
  </si>
  <si>
    <t xml:space="preserve">CNP </t>
  </si>
  <si>
    <t>Alienação total estimada</t>
  </si>
  <si>
    <t>Participação-alvo final das Partes na CNPH</t>
  </si>
  <si>
    <t xml:space="preserve">2) Cash-out - Simultânea </t>
  </si>
  <si>
    <t xml:space="preserve">Incorporação </t>
  </si>
  <si>
    <t>Percentual de Venda (Cash Out)</t>
  </si>
  <si>
    <t>(=) Total</t>
  </si>
  <si>
    <t>Pós Inc</t>
  </si>
  <si>
    <t>Venda (Cash-Out)</t>
  </si>
  <si>
    <t xml:space="preserve">Final </t>
  </si>
  <si>
    <t>Alteração na participação da Embracon</t>
  </si>
  <si>
    <t>Cenário B (incrementado)</t>
  </si>
  <si>
    <t>Cenário A (original)</t>
  </si>
  <si>
    <t>Item</t>
  </si>
  <si>
    <t>Preço (Cash-out)</t>
  </si>
  <si>
    <t>Valor estimado Cash-Out (Preço)</t>
  </si>
  <si>
    <t>Custo Total</t>
  </si>
  <si>
    <t>Por Holding</t>
  </si>
  <si>
    <t>Participação por holding pós inc</t>
  </si>
  <si>
    <t>Fração Alienada (Cash-Out)</t>
  </si>
  <si>
    <t xml:space="preserve">Custo Alocado </t>
  </si>
  <si>
    <t xml:space="preserve">Ganho de Capital </t>
  </si>
  <si>
    <t>IRPJ/CSLL (34%)</t>
  </si>
  <si>
    <t xml:space="preserve">Ganho Liquido </t>
  </si>
  <si>
    <t>Alíquota Efetiva (preço)</t>
  </si>
  <si>
    <t>Custo Remanescente</t>
  </si>
  <si>
    <t>Δ (Economia)</t>
  </si>
  <si>
    <t>Cálculo Ganho de Capital (Holdings)</t>
  </si>
  <si>
    <t xml:space="preserve">Total </t>
  </si>
  <si>
    <t>Cen A</t>
  </si>
  <si>
    <t>Cen B</t>
  </si>
  <si>
    <t>Informações</t>
  </si>
  <si>
    <t>Informação</t>
  </si>
  <si>
    <t>Valor</t>
  </si>
  <si>
    <t>Participação-alvo final das Partes CNP</t>
  </si>
  <si>
    <t>Participação final das famílias (Savian + JVFJ)</t>
  </si>
  <si>
    <t>Fração do investimento das Holdings alienada no cash-out</t>
  </si>
  <si>
    <t>PL contábil da Embracon (antes da incorporação)</t>
  </si>
  <si>
    <t>Custo original do investimento das Holdings (Savian + JVFJ)</t>
  </si>
  <si>
    <t>PL contábil da CNP</t>
  </si>
  <si>
    <t>Valor de mercado da CNP (valor pelo qual o acervo é incorporado no CPC 15 — PPA)</t>
  </si>
  <si>
    <t>Camada do custo</t>
  </si>
  <si>
    <t>Baixa no cash-out</t>
  </si>
  <si>
    <t>Custo original (PL contábil da Embracon)</t>
  </si>
  <si>
    <t>–</t>
  </si>
  <si>
    <t>(−) Perda por diluição de 13,8% sobre o custo original</t>
  </si>
  <si>
    <t>Reflexo do PL contábil da CNP</t>
  </si>
  <si>
    <t>Reflexo da mais-valia da CNP (AVJ do PPA)</t>
  </si>
  <si>
    <t>(=) Custo do investimento das Holdings</t>
  </si>
  <si>
    <t>Parcela do custo após o cash-out</t>
  </si>
  <si>
    <t>% do custo</t>
  </si>
  <si>
    <t>IR potencial (34%)</t>
  </si>
  <si>
    <t>Componente</t>
  </si>
  <si>
    <t>100% da JO</t>
  </si>
  <si>
    <t>60% (Holdings)</t>
  </si>
  <si>
    <t>Valor justo da Embracon</t>
  </si>
  <si>
    <t>Preço de venda abaixo do valor justo</t>
  </si>
  <si>
    <t>Preço de venda acima do valor justo</t>
  </si>
  <si>
    <t>Custo das quotas das Holdings nas pessoas físicas</t>
  </si>
  <si>
    <t>Cenário de preço</t>
  </si>
  <si>
    <t>Preço de venda</t>
  </si>
  <si>
    <t>Abaixo do valor justo</t>
  </si>
  <si>
    <t>Igual ao valor justo</t>
  </si>
  <si>
    <t>Acima do valor justo</t>
  </si>
  <si>
    <t>Movimento na Holding (CPC 19)</t>
  </si>
  <si>
    <t>Baixa do investimento (60% do valor justo da JO)</t>
  </si>
  <si>
    <t>Preço recebido</t>
  </si>
  <si>
    <t>(=) Resultado contábil da venda</t>
  </si>
  <si>
    <t>Crédito teórico sobre a perda (34%)</t>
  </si>
  <si>
    <t>Custo fiscal considerado em cada hipótese</t>
  </si>
  <si>
    <t>Ponto de comparação</t>
  </si>
  <si>
    <t>CPC 15</t>
  </si>
  <si>
    <t>CPC 19</t>
  </si>
  <si>
    <t>Δ (CPC 19 − CPC 15)</t>
  </si>
  <si>
    <t>Custo do investimento das Holdings após o cash-out</t>
  </si>
  <si>
    <t>CPC 15: reflexo cuja neutralidade depende de tese; CPC 19: AVJ carimbado, sem discussão.</t>
  </si>
  <si>
    <t>IR potencial sobre essa parcela (34%)</t>
  </si>
  <si>
    <t>CPC 15: devido só se o fisco negar o custo e prevalecer; CPC 19: devido na venda, qualquer que seja o preço.</t>
  </si>
  <si>
    <t>IR na venda pela Holding — preço abaixo do valor justo</t>
  </si>
  <si>
    <t>O piso do imposto carimbado torna o CPC 19 muito mais oneroso em vendas abaixo do valor justo.</t>
  </si>
  <si>
    <t>IR na venda pela Holding — preço igual ao valor justo</t>
  </si>
  <si>
    <t>Diferença = 34% da mais-valia da CNP: nos preços a partir do valor justo os regimes se aproximam.</t>
  </si>
  <si>
    <t>IR na venda pela Holding — preço acima do valor justo</t>
  </si>
  <si>
    <t>Mesma diferença fixa; o excedente ao valor justo é tributado a 34% nos dois regimes.</t>
  </si>
  <si>
    <t>IR na venda pelas pessoas físicas — preço igual ao valor justo</t>
  </si>
  <si>
    <t>Se a tese de neutralidade do reflexo for integralmente afastada, o CPC 15 passa a ser mais oneroso que o CPC 19.</t>
  </si>
  <si>
    <t>Composição do custo do investimento das Holdings</t>
  </si>
  <si>
    <t>Holdings (pós inc)</t>
  </si>
  <si>
    <t xml:space="preserve">Holdings após o cash-out </t>
  </si>
  <si>
    <t xml:space="preserve">IR  (34%) </t>
  </si>
  <si>
    <t>Custo remanescente após o cash-out</t>
  </si>
  <si>
    <t xml:space="preserve">Reflexo da mais-valia da CNP </t>
  </si>
  <si>
    <t>(=) Custo após o cash-out (com incremento)</t>
  </si>
  <si>
    <t>Custo fiscal original</t>
  </si>
  <si>
    <t>Reflexo do PL contábil da CNP (pós diluição)</t>
  </si>
  <si>
    <t xml:space="preserve">VJ da Embracon </t>
  </si>
  <si>
    <t>CNPH (ações novas)</t>
  </si>
  <si>
    <t>CNP</t>
  </si>
  <si>
    <t>Valor de Mercado CNP</t>
  </si>
  <si>
    <t>Avaliação a Valor Justo</t>
  </si>
  <si>
    <t>VJ CNP</t>
  </si>
  <si>
    <t>Investimento das Holdings na JO (60% - pós cash-out)</t>
  </si>
  <si>
    <t>Valor justo da CNP</t>
  </si>
  <si>
    <t>(=) Valor justo total</t>
  </si>
  <si>
    <t xml:space="preserve">(=) Ganho de AVJ </t>
  </si>
  <si>
    <t>Tributação diferida (subconta — arts. 13 e 14, Lei 12.973/14)</t>
  </si>
  <si>
    <t>Devido na realização do investimento (venda)</t>
  </si>
  <si>
    <t>Tributação do Passivo fiscal diferido</t>
  </si>
  <si>
    <t>(−) Base contábil (PL Embracon + PL CNP)</t>
  </si>
  <si>
    <t>Custo do investimento das Holdings no CPC 19</t>
  </si>
  <si>
    <t xml:space="preserve">Custo de Investimento nas Holdings - CPC 19 </t>
  </si>
  <si>
    <t xml:space="preserve">Mais-valia da CNP </t>
  </si>
  <si>
    <t>Preço de venda a valor justo</t>
  </si>
  <si>
    <t>Alíquota IR - ganho de capital da PF</t>
  </si>
  <si>
    <t>Imposto na venda dos 60%</t>
  </si>
  <si>
    <t>Venda PJ</t>
  </si>
  <si>
    <t>Venda PF</t>
  </si>
  <si>
    <t>Δ</t>
  </si>
  <si>
    <t xml:space="preserve"> Venda PJ </t>
  </si>
  <si>
    <t>Cenário Alternativo (Venda abaixo do valor justo e utilização da perda)</t>
  </si>
  <si>
    <t>IR diferido devido na realização</t>
  </si>
  <si>
    <t xml:space="preserve">Imposto Devido </t>
  </si>
  <si>
    <t>Parcela do custo com IR diferido (CPC 19) ou reflexo neutro (CPC 15)</t>
  </si>
  <si>
    <t>CPC 19: o custo inclui 60% do AVJ de toda a JO; CPC 15: apenas o reflexo da CNP a valor de mercado.</t>
  </si>
  <si>
    <t>Comentários</t>
  </si>
  <si>
    <t>Só o CPC 15 permite capturar a alíquota de 22,5%, no CPC 19 o imposto diferido fica na Holding.</t>
  </si>
  <si>
    <r>
      <rPr>
        <b/>
        <sz val="11"/>
        <color theme="1"/>
        <rFont val="Aptos Narrow"/>
        <family val="2"/>
        <scheme val="minor"/>
      </rPr>
      <t>RISCO 1:</t>
    </r>
    <r>
      <rPr>
        <sz val="11"/>
        <color theme="1"/>
        <rFont val="Aptos Narrow"/>
        <family val="2"/>
        <scheme val="minor"/>
      </rPr>
      <t xml:space="preserve"> o fisco não aceita nenhuma camada do reflexo — resta apenas o custo original remanescente</t>
    </r>
  </si>
  <si>
    <r>
      <rPr>
        <b/>
        <sz val="11"/>
        <color theme="1"/>
        <rFont val="Aptos Narrow"/>
        <family val="2"/>
        <scheme val="minor"/>
      </rPr>
      <t>RISCO 2:</t>
    </r>
    <r>
      <rPr>
        <sz val="11"/>
        <color theme="1"/>
        <rFont val="Aptos Narrow"/>
        <family val="2"/>
        <scheme val="minor"/>
      </rPr>
      <t xml:space="preserve"> o fisco não aceita a camada da mais-valia — o custo fiscal recua para a base contábil (custo original + reflexo do PL contábil da CNP)</t>
    </r>
  </si>
  <si>
    <t>Analise Hipótetica - Risco CPC 15</t>
  </si>
  <si>
    <t>RISCO 2</t>
  </si>
  <si>
    <t xml:space="preserve">RISCO 1 </t>
  </si>
  <si>
    <t>Δ RISCO 2</t>
  </si>
  <si>
    <t>Δ RISCO 1</t>
  </si>
  <si>
    <t xml:space="preserve">CPC 15 — custo </t>
  </si>
  <si>
    <t>5) Conclusão CPC 15 × CPC 19</t>
  </si>
  <si>
    <t>CPC 15 - Analise Hipotética</t>
  </si>
  <si>
    <t>CPC 15 — Combinação de Negócios</t>
  </si>
  <si>
    <t>1) Custo do Investimento das Holdings (CPC 15 × CPC 19)</t>
  </si>
  <si>
    <t>3) Cálculo do Ganho de Capital</t>
  </si>
  <si>
    <t>CPC 19 — Joint Operation</t>
  </si>
  <si>
    <t>2) Venda futura dos 60% — PJ x PF</t>
  </si>
  <si>
    <t>Alienação Futura - Analise dos Cenários</t>
  </si>
  <si>
    <t xml:space="preserve">Cálculo da Operação e Ganho de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</si>
</sst>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\ ;&quot; (&quot;#,##0.00\);&quot; -&quot;#\ ;@\ "/>
    <numFmt numFmtId="165" formatCode="_-* #,##0.00_-;\-* #,##0.00_-;_-* \-??_-;_-@_-"/>
    <numFmt numFmtId="166" formatCode="_(* #,##0.00_);_(* \(#,##0.00\);_(* &quot;-&quot;??_);_(@_)"/>
    <numFmt numFmtId="167" formatCode="0.0%"/>
    <numFmt numFmtId="168" formatCode="#,##0.0"/>
    <numFmt numFmtId="169" formatCode="0.0"/>
    <numFmt numFmtId="170" formatCode="#,##0.0;[Red]\(#,##0.0\);\-"/>
    <numFmt numFmtId="171" formatCode="0.0;[Red]\-0.0;&quot;ok&quot;"/>
    <numFmt numFmtId="172" formatCode="#,##0;[Red]\(#,##0\);\-"/>
    <numFmt numFmtId="177" formatCode="\+#,##0;[Red]\-#,##0;\-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b/>
      <sz val="10"/>
      <color theme="0"/>
      <name val="Calibri"/>
      <family val="2"/>
    </font>
    <font>
      <i/>
      <sz val="11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b/>
      <sz val="28"/>
      <color rgb="FF40404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00703C"/>
      <name val="Aptos Narrow"/>
      <family val="2"/>
      <scheme val="minor"/>
    </font>
    <font>
      <b/>
      <i/>
      <sz val="14"/>
      <color rgb="FFC00000"/>
      <name val="Aptos Narrow"/>
      <family val="2"/>
      <scheme val="minor"/>
    </font>
    <font>
      <b/>
      <i/>
      <sz val="14"/>
      <color rgb="FF1F386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9" fontId="3" fillId="0" borderId="0"/>
    <xf numFmtId="165" fontId="2" fillId="0" borderId="0" applyFill="0" applyBorder="0" applyAlignment="0" applyProtection="0"/>
    <xf numFmtId="164" fontId="3" fillId="0" borderId="0"/>
    <xf numFmtId="9" fontId="2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45">
    <xf numFmtId="0" fontId="0" fillId="0" borderId="0" xfId="0"/>
    <xf numFmtId="0" fontId="8" fillId="0" borderId="0" xfId="0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5" fillId="0" borderId="0" xfId="0" applyNumberFormat="1" applyFont="1" applyAlignment="1" applyProtection="1">
      <alignment horizontal="center" vertical="center"/>
      <protection locked="0"/>
    </xf>
    <xf numFmtId="0" fontId="7" fillId="0" borderId="0" xfId="0" quotePrefix="1" applyFont="1" applyAlignment="1">
      <alignment horizontal="center" vertical="center"/>
    </xf>
    <xf numFmtId="10" fontId="0" fillId="0" borderId="0" xfId="0" applyNumberFormat="1"/>
    <xf numFmtId="0" fontId="6" fillId="3" borderId="0" xfId="4" applyFont="1" applyFill="1" applyAlignment="1">
      <alignment horizontal="center" vertical="center" wrapText="1"/>
    </xf>
    <xf numFmtId="0" fontId="5" fillId="3" borderId="0" xfId="4" applyFont="1" applyFill="1" applyAlignment="1">
      <alignment horizontal="center" vertical="center" wrapText="1"/>
    </xf>
    <xf numFmtId="0" fontId="6" fillId="3" borderId="8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0" fontId="5" fillId="3" borderId="10" xfId="4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center" vertical="center" wrapText="1"/>
    </xf>
    <xf numFmtId="0" fontId="5" fillId="3" borderId="12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 wrapText="1"/>
    </xf>
    <xf numFmtId="0" fontId="5" fillId="3" borderId="15" xfId="4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0" fontId="5" fillId="3" borderId="17" xfId="4" applyFont="1" applyFill="1" applyBorder="1" applyAlignment="1">
      <alignment horizontal="center" vertical="center" wrapText="1"/>
    </xf>
    <xf numFmtId="0" fontId="5" fillId="3" borderId="18" xfId="4" applyFont="1" applyFill="1" applyBorder="1" applyAlignment="1">
      <alignment horizontal="center" vertical="center" wrapText="1"/>
    </xf>
    <xf numFmtId="44" fontId="7" fillId="5" borderId="0" xfId="0" applyNumberFormat="1" applyFont="1" applyFill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44" fontId="7" fillId="0" borderId="28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4" fontId="7" fillId="0" borderId="30" xfId="0" applyNumberFormat="1" applyFont="1" applyBorder="1" applyAlignment="1">
      <alignment horizontal="center" vertical="center"/>
    </xf>
    <xf numFmtId="0" fontId="6" fillId="3" borderId="19" xfId="4" applyFont="1" applyFill="1" applyBorder="1" applyAlignment="1">
      <alignment horizontal="center" vertical="center" wrapText="1"/>
    </xf>
    <xf numFmtId="0" fontId="6" fillId="3" borderId="6" xfId="4" applyFont="1" applyFill="1" applyBorder="1" applyAlignment="1">
      <alignment horizontal="center" vertical="center" wrapText="1"/>
    </xf>
    <xf numFmtId="0" fontId="5" fillId="3" borderId="9" xfId="4" applyFont="1" applyFill="1" applyBorder="1" applyAlignment="1">
      <alignment horizontal="center" vertical="center" wrapText="1"/>
    </xf>
    <xf numFmtId="0" fontId="5" fillId="3" borderId="11" xfId="4" applyFont="1" applyFill="1" applyBorder="1" applyAlignment="1">
      <alignment horizontal="center" vertical="center" wrapText="1"/>
    </xf>
    <xf numFmtId="0" fontId="5" fillId="3" borderId="13" xfId="4" applyFont="1" applyFill="1" applyBorder="1" applyAlignment="1">
      <alignment horizontal="center" vertical="center" wrapText="1"/>
    </xf>
    <xf numFmtId="0" fontId="5" fillId="3" borderId="14" xfId="4" applyFont="1" applyFill="1" applyBorder="1" applyAlignment="1">
      <alignment horizontal="center" vertical="center" wrapText="1"/>
    </xf>
    <xf numFmtId="0" fontId="5" fillId="3" borderId="7" xfId="4" applyFont="1" applyFill="1" applyBorder="1" applyAlignment="1">
      <alignment horizontal="center" vertical="center" wrapText="1"/>
    </xf>
    <xf numFmtId="0" fontId="5" fillId="3" borderId="16" xfId="4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4" fontId="7" fillId="6" borderId="28" xfId="1" applyNumberFormat="1" applyFont="1" applyFill="1" applyBorder="1" applyAlignment="1">
      <alignment horizontal="center" vertical="center"/>
    </xf>
    <xf numFmtId="44" fontId="7" fillId="0" borderId="28" xfId="1" applyNumberFormat="1" applyFont="1" applyFill="1" applyBorder="1" applyAlignment="1">
      <alignment horizontal="center" vertical="center"/>
    </xf>
    <xf numFmtId="0" fontId="9" fillId="3" borderId="0" xfId="4" applyFont="1" applyFill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4" fontId="7" fillId="5" borderId="28" xfId="1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4" fontId="7" fillId="0" borderId="30" xfId="1" applyNumberFormat="1" applyFont="1" applyFill="1" applyBorder="1" applyAlignment="1">
      <alignment horizontal="center" vertical="center"/>
    </xf>
    <xf numFmtId="44" fontId="7" fillId="0" borderId="0" xfId="1" applyNumberFormat="1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center" vertical="center"/>
    </xf>
    <xf numFmtId="0" fontId="9" fillId="3" borderId="17" xfId="4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44" fontId="7" fillId="5" borderId="30" xfId="1" applyNumberFormat="1" applyFont="1" applyFill="1" applyBorder="1" applyAlignment="1">
      <alignment horizontal="center" vertical="center"/>
    </xf>
    <xf numFmtId="44" fontId="7" fillId="4" borderId="23" xfId="1" applyNumberFormat="1" applyFont="1" applyFill="1" applyBorder="1" applyAlignment="1">
      <alignment horizontal="center" vertical="center"/>
    </xf>
    <xf numFmtId="44" fontId="7" fillId="5" borderId="30" xfId="0" applyNumberFormat="1" applyFont="1" applyFill="1" applyBorder="1" applyAlignment="1">
      <alignment horizontal="center" vertical="center"/>
    </xf>
    <xf numFmtId="44" fontId="7" fillId="6" borderId="30" xfId="1" applyNumberFormat="1" applyFont="1" applyFill="1" applyBorder="1" applyAlignment="1">
      <alignment horizontal="center" vertical="center"/>
    </xf>
    <xf numFmtId="44" fontId="7" fillId="6" borderId="23" xfId="1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4" fontId="7" fillId="5" borderId="28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44" fontId="5" fillId="3" borderId="0" xfId="4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quotePrefix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4" fontId="5" fillId="3" borderId="0" xfId="0" applyNumberFormat="1" applyFont="1" applyFill="1" applyAlignment="1" applyProtection="1">
      <alignment horizontal="center" vertical="center"/>
      <protection locked="0"/>
    </xf>
    <xf numFmtId="44" fontId="7" fillId="3" borderId="0" xfId="0" applyNumberFormat="1" applyFont="1" applyFill="1" applyAlignment="1">
      <alignment horizontal="center" vertical="center"/>
    </xf>
    <xf numFmtId="0" fontId="7" fillId="6" borderId="27" xfId="0" quotePrefix="1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44" fontId="5" fillId="2" borderId="26" xfId="0" applyNumberFormat="1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>
      <alignment horizontal="center" vertical="center"/>
    </xf>
    <xf numFmtId="44" fontId="5" fillId="2" borderId="30" xfId="0" applyNumberFormat="1" applyFont="1" applyFill="1" applyBorder="1" applyAlignment="1" applyProtection="1">
      <alignment horizontal="center" vertical="center"/>
      <protection locked="0"/>
    </xf>
    <xf numFmtId="0" fontId="8" fillId="0" borderId="21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44" fontId="7" fillId="5" borderId="23" xfId="1" applyNumberFormat="1" applyFont="1" applyFill="1" applyBorder="1" applyAlignment="1">
      <alignment horizontal="center" vertical="center"/>
    </xf>
    <xf numFmtId="0" fontId="7" fillId="5" borderId="27" xfId="0" quotePrefix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44" fontId="7" fillId="7" borderId="23" xfId="1" applyNumberFormat="1" applyFont="1" applyFill="1" applyBorder="1" applyAlignment="1">
      <alignment horizontal="center" vertical="center"/>
    </xf>
    <xf numFmtId="44" fontId="7" fillId="6" borderId="26" xfId="1" applyNumberFormat="1" applyFont="1" applyFill="1" applyBorder="1" applyAlignment="1">
      <alignment horizontal="center" vertical="center"/>
    </xf>
    <xf numFmtId="44" fontId="7" fillId="5" borderId="26" xfId="1" applyNumberFormat="1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44" fontId="7" fillId="5" borderId="0" xfId="1" applyNumberFormat="1" applyFont="1" applyFill="1" applyBorder="1" applyAlignment="1">
      <alignment horizontal="center" vertical="center"/>
    </xf>
    <xf numFmtId="44" fontId="7" fillId="5" borderId="23" xfId="0" applyNumberFormat="1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6" borderId="29" xfId="0" quotePrefix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6" borderId="27" xfId="0" quotePrefix="1" applyFont="1" applyFill="1" applyBorder="1" applyAlignment="1">
      <alignment horizontal="center" vertical="center"/>
    </xf>
    <xf numFmtId="0" fontId="8" fillId="6" borderId="0" xfId="0" quotePrefix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166" fontId="11" fillId="8" borderId="22" xfId="1" applyNumberFormat="1" applyFont="1" applyFill="1" applyBorder="1" applyAlignment="1">
      <alignment horizontal="center" vertical="center"/>
    </xf>
    <xf numFmtId="14" fontId="11" fillId="8" borderId="23" xfId="1" applyNumberFormat="1" applyFont="1" applyFill="1" applyBorder="1" applyAlignment="1">
      <alignment horizontal="center" vertical="center"/>
    </xf>
    <xf numFmtId="166" fontId="11" fillId="8" borderId="21" xfId="1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 readingOrder="1"/>
    </xf>
    <xf numFmtId="0" fontId="0" fillId="0" borderId="20" xfId="0" applyBorder="1"/>
    <xf numFmtId="0" fontId="12" fillId="3" borderId="0" xfId="0" applyFont="1" applyFill="1"/>
    <xf numFmtId="167" fontId="0" fillId="0" borderId="0" xfId="0" applyNumberFormat="1"/>
    <xf numFmtId="167" fontId="12" fillId="0" borderId="0" xfId="0" applyNumberFormat="1" applyFont="1"/>
    <xf numFmtId="167" fontId="12" fillId="0" borderId="20" xfId="0" applyNumberFormat="1" applyFont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9" fontId="0" fillId="0" borderId="0" xfId="10" applyFont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9" fontId="12" fillId="0" borderId="0" xfId="10" applyFont="1"/>
    <xf numFmtId="167" fontId="16" fillId="0" borderId="0" xfId="0" applyNumberFormat="1" applyFont="1"/>
    <xf numFmtId="167" fontId="15" fillId="0" borderId="0" xfId="0" applyNumberFormat="1" applyFont="1"/>
    <xf numFmtId="0" fontId="15" fillId="0" borderId="25" xfId="0" applyFont="1" applyBorder="1"/>
    <xf numFmtId="0" fontId="16" fillId="6" borderId="25" xfId="0" applyFont="1" applyFill="1" applyBorder="1"/>
    <xf numFmtId="9" fontId="16" fillId="6" borderId="25" xfId="0" applyNumberFormat="1" applyFont="1" applyFill="1" applyBorder="1"/>
    <xf numFmtId="0" fontId="15" fillId="0" borderId="0" xfId="0" applyFont="1"/>
    <xf numFmtId="0" fontId="16" fillId="0" borderId="0" xfId="0" applyFont="1"/>
    <xf numFmtId="0" fontId="16" fillId="6" borderId="22" xfId="0" applyFont="1" applyFill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4" fontId="0" fillId="0" borderId="0" xfId="0" applyNumberFormat="1"/>
    <xf numFmtId="164" fontId="17" fillId="0" borderId="0" xfId="0" applyNumberFormat="1" applyFont="1" applyAlignment="1">
      <alignment horizontal="right" vertical="center"/>
    </xf>
    <xf numFmtId="0" fontId="12" fillId="0" borderId="28" xfId="0" applyFont="1" applyBorder="1"/>
    <xf numFmtId="164" fontId="18" fillId="0" borderId="0" xfId="0" applyNumberFormat="1" applyFont="1"/>
    <xf numFmtId="164" fontId="18" fillId="0" borderId="28" xfId="0" applyNumberFormat="1" applyFont="1" applyBorder="1"/>
    <xf numFmtId="0" fontId="15" fillId="6" borderId="22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28" xfId="0" applyFont="1" applyBorder="1"/>
    <xf numFmtId="0" fontId="15" fillId="0" borderId="0" xfId="0" applyFont="1" applyAlignment="1">
      <alignment horizontal="right" vertical="center"/>
    </xf>
    <xf numFmtId="4" fontId="15" fillId="0" borderId="20" xfId="0" applyNumberFormat="1" applyFont="1" applyBorder="1"/>
    <xf numFmtId="4" fontId="15" fillId="0" borderId="30" xfId="0" applyNumberFormat="1" applyFont="1" applyBorder="1"/>
    <xf numFmtId="4" fontId="15" fillId="0" borderId="0" xfId="0" applyNumberFormat="1" applyFont="1"/>
    <xf numFmtId="0" fontId="12" fillId="0" borderId="0" xfId="0" applyFont="1" applyAlignment="1">
      <alignment horizontal="right" vertical="center"/>
    </xf>
    <xf numFmtId="4" fontId="15" fillId="0" borderId="25" xfId="0" applyNumberFormat="1" applyFont="1" applyBorder="1" applyAlignment="1">
      <alignment vertical="center"/>
    </xf>
    <xf numFmtId="4" fontId="15" fillId="6" borderId="22" xfId="0" applyNumberFormat="1" applyFont="1" applyFill="1" applyBorder="1" applyAlignment="1">
      <alignment vertical="center"/>
    </xf>
    <xf numFmtId="4" fontId="12" fillId="0" borderId="20" xfId="0" applyNumberFormat="1" applyFont="1" applyBorder="1" applyAlignment="1">
      <alignment horizontal="right" vertical="center"/>
    </xf>
    <xf numFmtId="164" fontId="12" fillId="0" borderId="0" xfId="0" applyNumberFormat="1" applyFont="1"/>
    <xf numFmtId="0" fontId="0" fillId="6" borderId="22" xfId="0" applyFill="1" applyBorder="1"/>
    <xf numFmtId="9" fontId="12" fillId="3" borderId="0" xfId="10" applyFont="1" applyFill="1"/>
    <xf numFmtId="0" fontId="15" fillId="6" borderId="0" xfId="0" applyFont="1" applyFill="1"/>
    <xf numFmtId="3" fontId="15" fillId="0" borderId="0" xfId="0" applyNumberFormat="1" applyFont="1"/>
    <xf numFmtId="0" fontId="12" fillId="0" borderId="0" xfId="0" applyFont="1" applyAlignment="1">
      <alignment vertical="center"/>
    </xf>
    <xf numFmtId="167" fontId="12" fillId="0" borderId="0" xfId="0" applyNumberFormat="1" applyFont="1" applyAlignment="1">
      <alignment vertical="center"/>
    </xf>
    <xf numFmtId="167" fontId="15" fillId="0" borderId="25" xfId="0" applyNumberFormat="1" applyFont="1" applyBorder="1"/>
    <xf numFmtId="167" fontId="16" fillId="0" borderId="22" xfId="0" applyNumberFormat="1" applyFont="1" applyBorder="1" applyAlignment="1">
      <alignment vertical="center"/>
    </xf>
    <xf numFmtId="167" fontId="12" fillId="0" borderId="22" xfId="0" applyNumberFormat="1" applyFont="1" applyBorder="1"/>
    <xf numFmtId="167" fontId="16" fillId="0" borderId="25" xfId="0" applyNumberFormat="1" applyFont="1" applyBorder="1" applyAlignment="1">
      <alignment vertical="center"/>
    </xf>
    <xf numFmtId="0" fontId="12" fillId="0" borderId="0" xfId="0" applyFont="1" applyAlignment="1">
      <alignment wrapText="1"/>
    </xf>
    <xf numFmtId="0" fontId="15" fillId="0" borderId="22" xfId="0" applyFont="1" applyBorder="1"/>
    <xf numFmtId="169" fontId="0" fillId="0" borderId="0" xfId="0" applyNumberFormat="1"/>
    <xf numFmtId="169" fontId="15" fillId="0" borderId="0" xfId="0" applyNumberFormat="1" applyFont="1"/>
    <xf numFmtId="0" fontId="16" fillId="6" borderId="31" xfId="0" applyFont="1" applyFill="1" applyBorder="1" applyAlignment="1">
      <alignment horizontal="center" vertical="center"/>
    </xf>
    <xf numFmtId="169" fontId="16" fillId="6" borderId="31" xfId="0" applyNumberFormat="1" applyFont="1" applyFill="1" applyBorder="1" applyAlignment="1">
      <alignment horizontal="right" vertical="center"/>
    </xf>
    <xf numFmtId="167" fontId="16" fillId="6" borderId="31" xfId="0" applyNumberFormat="1" applyFont="1" applyFill="1" applyBorder="1" applyAlignment="1">
      <alignment horizontal="right" vertical="center"/>
    </xf>
    <xf numFmtId="0" fontId="16" fillId="6" borderId="31" xfId="0" applyFont="1" applyFill="1" applyBorder="1" applyAlignment="1">
      <alignment horizontal="right" vertical="center"/>
    </xf>
    <xf numFmtId="168" fontId="16" fillId="6" borderId="31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6" borderId="20" xfId="0" applyFill="1" applyBorder="1"/>
    <xf numFmtId="169" fontId="15" fillId="0" borderId="22" xfId="0" applyNumberFormat="1" applyFont="1" applyBorder="1"/>
    <xf numFmtId="1" fontId="15" fillId="0" borderId="25" xfId="0" applyNumberFormat="1" applyFont="1" applyBorder="1"/>
    <xf numFmtId="169" fontId="15" fillId="6" borderId="31" xfId="0" applyNumberFormat="1" applyFont="1" applyFill="1" applyBorder="1"/>
    <xf numFmtId="167" fontId="15" fillId="6" borderId="31" xfId="0" applyNumberFormat="1" applyFont="1" applyFill="1" applyBorder="1"/>
    <xf numFmtId="0" fontId="15" fillId="6" borderId="31" xfId="0" applyFont="1" applyFill="1" applyBorder="1"/>
    <xf numFmtId="0" fontId="0" fillId="6" borderId="20" xfId="0" applyFill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6" borderId="20" xfId="0" applyFont="1" applyFill="1" applyBorder="1" applyAlignment="1">
      <alignment horizontal="left" vertical="center" wrapText="1"/>
    </xf>
    <xf numFmtId="0" fontId="15" fillId="6" borderId="20" xfId="0" applyFont="1" applyFill="1" applyBorder="1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  <xf numFmtId="170" fontId="12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15" fillId="0" borderId="25" xfId="0" applyNumberFormat="1" applyFont="1" applyBorder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5" fillId="0" borderId="25" xfId="0" applyNumberFormat="1" applyFont="1" applyBorder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0" fontId="15" fillId="0" borderId="20" xfId="0" applyFont="1" applyBorder="1" applyAlignment="1">
      <alignment horizontal="center"/>
    </xf>
    <xf numFmtId="167" fontId="12" fillId="0" borderId="0" xfId="10" applyNumberFormat="1" applyFont="1" applyAlignment="1">
      <alignment horizontal="center"/>
    </xf>
    <xf numFmtId="0" fontId="0" fillId="0" borderId="0" xfId="0" applyAlignment="1">
      <alignment horizontal="center"/>
    </xf>
    <xf numFmtId="168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9" fontId="15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1" fontId="15" fillId="0" borderId="25" xfId="0" applyNumberFormat="1" applyFont="1" applyBorder="1" applyAlignment="1">
      <alignment horizontal="center"/>
    </xf>
    <xf numFmtId="169" fontId="15" fillId="0" borderId="22" xfId="0" applyNumberFormat="1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2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167" fontId="15" fillId="0" borderId="25" xfId="0" applyNumberFormat="1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19" fillId="9" borderId="22" xfId="0" applyFont="1" applyFill="1" applyBorder="1" applyAlignment="1">
      <alignment horizontal="left" vertical="center"/>
    </xf>
    <xf numFmtId="0" fontId="16" fillId="6" borderId="25" xfId="0" applyFont="1" applyFill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6" borderId="22" xfId="0" applyFont="1" applyFill="1" applyBorder="1" applyAlignment="1">
      <alignment horizontal="left" vertical="center"/>
    </xf>
    <xf numFmtId="0" fontId="0" fillId="6" borderId="22" xfId="0" applyFill="1" applyBorder="1" applyAlignment="1">
      <alignment horizontal="center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7" fillId="0" borderId="0" xfId="0" quotePrefix="1" applyFont="1" applyAlignment="1">
      <alignment horizontal="center" vertical="center"/>
    </xf>
    <xf numFmtId="0" fontId="7" fillId="0" borderId="27" xfId="0" quotePrefix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20" xfId="0" applyFont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3" fontId="15" fillId="3" borderId="0" xfId="0" applyNumberFormat="1" applyFont="1" applyFill="1" applyAlignment="1">
      <alignment horizontal="center" vertical="center"/>
    </xf>
    <xf numFmtId="172" fontId="15" fillId="0" borderId="25" xfId="0" applyNumberFormat="1" applyFont="1" applyBorder="1" applyAlignment="1">
      <alignment horizontal="center" vertical="center"/>
    </xf>
    <xf numFmtId="172" fontId="12" fillId="0" borderId="0" xfId="0" applyNumberFormat="1" applyFont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0" fillId="0" borderId="0" xfId="0" applyBorder="1"/>
    <xf numFmtId="0" fontId="12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172" fontId="15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  <xf numFmtId="170" fontId="21" fillId="6" borderId="0" xfId="0" applyNumberFormat="1" applyFont="1" applyFill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 wrapText="1"/>
    </xf>
    <xf numFmtId="0" fontId="15" fillId="6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 wrapText="1"/>
    </xf>
    <xf numFmtId="0" fontId="20" fillId="9" borderId="2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170" fontId="15" fillId="0" borderId="20" xfId="0" applyNumberFormat="1" applyFont="1" applyBorder="1" applyAlignment="1">
      <alignment horizontal="center" vertical="center"/>
    </xf>
    <xf numFmtId="0" fontId="12" fillId="3" borderId="0" xfId="0" applyFont="1" applyFill="1" applyAlignment="1">
      <alignment horizontal="left" vertical="center" wrapText="1"/>
    </xf>
    <xf numFmtId="3" fontId="12" fillId="3" borderId="0" xfId="0" applyNumberFormat="1" applyFont="1" applyFill="1" applyAlignment="1">
      <alignment horizontal="center" vertical="center"/>
    </xf>
    <xf numFmtId="172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6" borderId="29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3" fontId="12" fillId="2" borderId="0" xfId="0" applyNumberFormat="1" applyFont="1" applyFill="1" applyAlignment="1">
      <alignment horizontal="center" vertical="center"/>
    </xf>
    <xf numFmtId="172" fontId="0" fillId="0" borderId="27" xfId="0" applyNumberFormat="1" applyBorder="1" applyAlignment="1">
      <alignment horizontal="center" vertical="center"/>
    </xf>
    <xf numFmtId="172" fontId="0" fillId="0" borderId="29" xfId="0" applyNumberFormat="1" applyBorder="1" applyAlignment="1">
      <alignment horizontal="center" vertical="center"/>
    </xf>
    <xf numFmtId="172" fontId="0" fillId="0" borderId="28" xfId="0" applyNumberFormat="1" applyBorder="1" applyAlignment="1">
      <alignment horizontal="center" vertical="center"/>
    </xf>
    <xf numFmtId="172" fontId="0" fillId="0" borderId="30" xfId="0" applyNumberFormat="1" applyBorder="1" applyAlignment="1">
      <alignment horizontal="center" vertical="center"/>
    </xf>
    <xf numFmtId="172" fontId="15" fillId="0" borderId="31" xfId="0" applyNumberFormat="1" applyFont="1" applyBorder="1" applyAlignment="1">
      <alignment horizontal="center" vertical="center"/>
    </xf>
    <xf numFmtId="172" fontId="15" fillId="0" borderId="31" xfId="0" applyNumberFormat="1" applyFont="1" applyBorder="1" applyAlignment="1">
      <alignment horizontal="center"/>
    </xf>
    <xf numFmtId="172" fontId="15" fillId="0" borderId="33" xfId="0" applyNumberFormat="1" applyFont="1" applyBorder="1" applyAlignment="1">
      <alignment horizontal="center" vertical="center"/>
    </xf>
    <xf numFmtId="172" fontId="15" fillId="0" borderId="33" xfId="0" applyNumberFormat="1" applyFont="1" applyBorder="1" applyAlignment="1">
      <alignment horizontal="center"/>
    </xf>
    <xf numFmtId="172" fontId="15" fillId="0" borderId="0" xfId="0" applyNumberFormat="1" applyFont="1" applyAlignment="1">
      <alignment horizontal="center" vertical="center"/>
    </xf>
    <xf numFmtId="172" fontId="16" fillId="0" borderId="25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0" fillId="0" borderId="20" xfId="0" applyBorder="1" applyAlignment="1">
      <alignment horizontal="center"/>
    </xf>
    <xf numFmtId="0" fontId="12" fillId="0" borderId="27" xfId="0" applyFont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/>
    </xf>
    <xf numFmtId="0" fontId="22" fillId="3" borderId="34" xfId="0" applyFont="1" applyFill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19" fillId="9" borderId="20" xfId="0" applyFont="1" applyFill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bottom"/>
    </xf>
    <xf numFmtId="0" fontId="19" fillId="9" borderId="22" xfId="0" applyFont="1" applyFill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15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5" fillId="6" borderId="20" xfId="0" applyFont="1" applyFill="1" applyBorder="1" applyAlignment="1">
      <alignment horizontal="left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29" xfId="0" applyFont="1" applyFill="1" applyBorder="1" applyAlignment="1">
      <alignment horizontal="center" vertical="center" wrapText="1"/>
    </xf>
    <xf numFmtId="0" fontId="15" fillId="6" borderId="30" xfId="0" applyFont="1" applyFill="1" applyBorder="1" applyAlignment="1">
      <alignment horizontal="center" vertical="center" wrapText="1"/>
    </xf>
    <xf numFmtId="0" fontId="15" fillId="6" borderId="33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left" vertical="center" wrapText="1"/>
    </xf>
    <xf numFmtId="170" fontId="0" fillId="0" borderId="0" xfId="0" applyNumberFormat="1" applyFont="1" applyAlignment="1">
      <alignment horizontal="center" vertical="center"/>
    </xf>
    <xf numFmtId="170" fontId="12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170" fontId="15" fillId="0" borderId="25" xfId="0" applyNumberFormat="1" applyFont="1" applyBorder="1" applyAlignment="1">
      <alignment horizontal="center" vertical="center"/>
    </xf>
    <xf numFmtId="170" fontId="21" fillId="6" borderId="0" xfId="0" applyNumberFormat="1" applyFont="1" applyFill="1" applyAlignment="1">
      <alignment horizontal="center" vertical="center"/>
    </xf>
    <xf numFmtId="172" fontId="0" fillId="0" borderId="0" xfId="0" applyNumberFormat="1" applyFont="1" applyAlignment="1">
      <alignment horizontal="center" vertical="center"/>
    </xf>
    <xf numFmtId="172" fontId="12" fillId="0" borderId="0" xfId="0" applyNumberFormat="1" applyFont="1" applyAlignment="1">
      <alignment horizontal="center" vertical="center"/>
    </xf>
    <xf numFmtId="172" fontId="15" fillId="0" borderId="0" xfId="0" applyNumberFormat="1" applyFont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172" fontId="15" fillId="0" borderId="25" xfId="0" applyNumberFormat="1" applyFont="1" applyBorder="1" applyAlignment="1">
      <alignment horizontal="center" vertical="center"/>
    </xf>
    <xf numFmtId="172" fontId="0" fillId="0" borderId="27" xfId="0" applyNumberFormat="1" applyFont="1" applyBorder="1" applyAlignment="1">
      <alignment horizontal="center" vertical="center"/>
    </xf>
    <xf numFmtId="172" fontId="0" fillId="0" borderId="28" xfId="0" applyNumberFormat="1" applyFont="1" applyBorder="1" applyAlignment="1">
      <alignment horizontal="center" vertical="center"/>
    </xf>
    <xf numFmtId="172" fontId="0" fillId="0" borderId="29" xfId="0" applyNumberFormat="1" applyFont="1" applyBorder="1" applyAlignment="1">
      <alignment horizontal="center" vertical="center"/>
    </xf>
    <xf numFmtId="172" fontId="0" fillId="0" borderId="30" xfId="0" applyNumberFormat="1" applyFont="1" applyBorder="1" applyAlignment="1">
      <alignment horizontal="center" vertical="center"/>
    </xf>
    <xf numFmtId="172" fontId="15" fillId="0" borderId="31" xfId="0" applyNumberFormat="1" applyFont="1" applyBorder="1" applyAlignment="1">
      <alignment horizontal="center" vertical="center"/>
    </xf>
    <xf numFmtId="172" fontId="15" fillId="0" borderId="33" xfId="0" applyNumberFormat="1" applyFont="1" applyBorder="1" applyAlignment="1">
      <alignment horizontal="center" vertical="center"/>
    </xf>
    <xf numFmtId="172" fontId="15" fillId="6" borderId="5" xfId="0" applyNumberFormat="1" applyFont="1" applyFill="1" applyBorder="1" applyAlignment="1">
      <alignment horizontal="center" vertical="center"/>
    </xf>
    <xf numFmtId="172" fontId="20" fillId="4" borderId="5" xfId="0" applyNumberFormat="1" applyFont="1" applyFill="1" applyBorder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7" fontId="15" fillId="0" borderId="25" xfId="0" applyNumberFormat="1" applyFont="1" applyBorder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0" fontId="15" fillId="6" borderId="0" xfId="0" applyFont="1" applyFill="1" applyAlignment="1">
      <alignment horizontal="left" vertical="center" wrapText="1"/>
    </xf>
    <xf numFmtId="3" fontId="15" fillId="6" borderId="0" xfId="0" applyNumberFormat="1" applyFont="1" applyFill="1" applyAlignment="1">
      <alignment horizontal="center" vertical="center"/>
    </xf>
    <xf numFmtId="170" fontId="15" fillId="6" borderId="0" xfId="0" applyNumberFormat="1" applyFont="1" applyFill="1" applyAlignment="1">
      <alignment horizontal="center" vertical="center"/>
    </xf>
    <xf numFmtId="167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3" fontId="15" fillId="2" borderId="0" xfId="0" applyNumberFormat="1" applyFont="1" applyFill="1" applyAlignment="1">
      <alignment horizontal="center" vertical="center"/>
    </xf>
    <xf numFmtId="0" fontId="12" fillId="0" borderId="27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20" fillId="4" borderId="5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top"/>
    </xf>
    <xf numFmtId="177" fontId="20" fillId="4" borderId="5" xfId="0" applyNumberFormat="1" applyFont="1" applyFill="1" applyBorder="1" applyAlignment="1">
      <alignment horizontal="center" vertical="center"/>
    </xf>
    <xf numFmtId="172" fontId="15" fillId="6" borderId="5" xfId="0" applyNumberFormat="1" applyFont="1" applyFill="1" applyBorder="1" applyAlignment="1">
      <alignment horizontal="left" vertical="center"/>
    </xf>
  </cellXfs>
  <cellStyles count="12">
    <cellStyle name="Comma" xfId="1" builtinId="3"/>
    <cellStyle name="Excel Built-in Normal" xfId="3" xr:uid="{001729F4-5ACC-4104-A653-55471EC159A8}"/>
    <cellStyle name="Normal" xfId="0" builtinId="0"/>
    <cellStyle name="Normal 10 17" xfId="4" xr:uid="{5B315352-6F17-456B-82B0-65B44BC55EFF}"/>
    <cellStyle name="Normal 2" xfId="2" xr:uid="{6D36085F-648D-43A8-AB1A-88508A194879}"/>
    <cellStyle name="Percent" xfId="10" builtinId="5"/>
    <cellStyle name="Porcentagem 2" xfId="5" xr:uid="{A9A3947E-7A61-4108-8C10-682F9B9FB178}"/>
    <cellStyle name="Porcentagem 3" xfId="8" xr:uid="{C1FCFC8C-8169-485B-82C0-0308CFB08979}"/>
    <cellStyle name="TableStyleLight1" xfId="9" xr:uid="{C78E8FE4-804C-4B1C-906E-C59D6C8CDCFD}"/>
    <cellStyle name="Vírgula 12" xfId="7" xr:uid="{B2194CD6-509D-462D-AD25-EB094A3771E3}"/>
    <cellStyle name="Vírgula 2" xfId="6" xr:uid="{8F9DFE5A-2819-42F0-81B1-2AB9FDA076A1}"/>
    <cellStyle name="Vírgula 3" xfId="11" xr:uid="{A73EE5A9-755B-491E-A699-58F7F7D06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3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189699</xdr:colOff>
      <xdr:row>7</xdr:row>
      <xdr:rowOff>149680</xdr:rowOff>
    </xdr:from>
    <xdr:ext cx="14650773" cy="5045456"/>
    <xdr:pic>
      <xdr:nvPicPr>
        <xdr:cNvPr id="2" name="Imagem 1">
          <a:extLst>
            <a:ext uri="{FF2B5EF4-FFF2-40B4-BE49-F238E27FC236}">
              <a16:creationId xmlns:a16="http://schemas.microsoft.com/office/drawing/2014/main" id="{5AD1BD29-7CAF-23CB-CCBE-8F606667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699" y="149680"/>
          <a:ext cx="14650773" cy="5045456"/>
        </a:xfrm>
        <a:prstGeom prst="rect">
          <a:avLst/>
        </a:prstGeom>
      </xdr:spPr>
    </xdr:pic>
    <xdr:clientData/>
  </xdr:oneCellAnchor>
  <xdr:oneCellAnchor>
    <xdr:from>
      <xdr:col>0</xdr:col>
      <xdr:colOff>96050</xdr:colOff>
      <xdr:row>35</xdr:row>
      <xdr:rowOff>54429</xdr:rowOff>
    </xdr:from>
    <xdr:ext cx="14455142" cy="5630061"/>
    <xdr:pic>
      <xdr:nvPicPr>
        <xdr:cNvPr id="3" name="Imagem 2">
          <a:extLst>
            <a:ext uri="{FF2B5EF4-FFF2-40B4-BE49-F238E27FC236}">
              <a16:creationId xmlns:a16="http://schemas.microsoft.com/office/drawing/2014/main" id="{002AC607-49BF-5C2A-0B7C-856B7496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50" y="5388429"/>
          <a:ext cx="14455142" cy="5630061"/>
        </a:xfrm>
        <a:prstGeom prst="rect">
          <a:avLst/>
        </a:prstGeom>
      </xdr:spPr>
    </xdr:pic>
    <xdr:clientData/>
  </xdr:oneCellAnchor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4" name="Logo SF">
          <a:extLst>
            <a:ext uri="{FF2B5EF4-FFF2-40B4-BE49-F238E27FC236}">
              <a16:creationId xmlns:a16="http://schemas.microsoft.com/office/drawing/2014/main" id="{9320E59F-F1FC-4219-BBFE-B9C6BAF5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6129" y="512797"/>
          <a:ext cx="2828149" cy="6481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9320E59F-F1FC-4219-BBFE-B9C6BAF5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29" y="512797"/>
          <a:ext cx="2828149" cy="64819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EE33DAB4-AF20-4113-A50E-05B55628B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361950"/>
          <a:ext cx="2828149" cy="6481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5</xdr:col>
      <xdr:colOff>2004458</xdr:colOff>
      <xdr:row>47</xdr:row>
      <xdr:rowOff>123317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9D942E-5CF8-02DD-9745-DC34191E7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13" y="2650435"/>
          <a:ext cx="9383434" cy="52585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9320E59F-F1FC-4219-BBFE-B9C6BAF5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29" y="512797"/>
          <a:ext cx="2828149" cy="64819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9320E59F-F1FC-4219-BBFE-B9C6BAF5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29" y="512797"/>
          <a:ext cx="2828149" cy="64819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9320E59F-F1FC-4219-BBFE-B9C6BAF5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29" y="512797"/>
          <a:ext cx="2828149" cy="6481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BD8A-FBE8-4539-94FA-585B4DCA3EA5}">
  <dimension ref="C2:E5"/>
  <sheetViews>
    <sheetView showGridLines="0" zoomScale="70" zoomScaleNormal="70" workbookViewId="0">
      <selection activeCell="X29" sqref="X29"/>
    </sheetView>
  </sheetViews>
  <sheetFormatPr defaultColWidth="8.81640625" defaultRowHeight="14.5" x14ac:dyDescent="0.35"/>
  <cols>
    <col min="1" max="1" width="7.54296875" customWidth="1"/>
    <col min="3" max="3" width="16.453125" customWidth="1"/>
    <col min="4" max="4" width="20" customWidth="1"/>
  </cols>
  <sheetData>
    <row r="2">
      <c r="C2" s="6"/>
    </row>
    <row r="4" ht="26" customHeight="1">
      <c r="E4" s="277" t="inlineStr">
        <is>
          <t>Organograma</t>
        </is>
      </c>
    </row>
    <row r="5" ht="26" customHeight="1">
      <c r="E5" s="342" t="inlineStr">
        <is>
          <t>4 de setembro de 2026</t>
        </is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7449-9A87-47F1-8BBE-D97626856162}">
  <dimension ref="B4:K97"/>
  <sheetViews>
    <sheetView showGridLines="0" topLeftCell="A74" zoomScale="90" zoomScaleNormal="90" workbookViewId="0">
      <selection activeCell="B26" sqref="B26:K26"/>
    </sheetView>
  </sheetViews>
  <sheetFormatPr defaultColWidth="8.90625" defaultRowHeight="14.5" x14ac:dyDescent="0.35"/>
  <cols>
    <col min="1" max="1" width="7.54296875" customWidth="1"/>
    <col min="2" max="2" width="22.7265625" customWidth="1"/>
    <col min="3" max="3" width="10.54296875" customWidth="1"/>
    <col min="4" max="4" width="11.1796875" bestFit="1" customWidth="1"/>
    <col min="5" max="5" width="12.26953125" customWidth="1"/>
    <col min="6" max="6" width="11" customWidth="1"/>
    <col min="7" max="7" width="12.7265625" customWidth="1"/>
    <col min="8" max="8" width="20.81640625" customWidth="1"/>
    <col min="9" max="9" width="10.81640625" bestFit="1" customWidth="1"/>
    <col min="10" max="10" width="8.6328125" customWidth="1"/>
    <col min="11" max="11" width="12.6328125" bestFit="1" customWidth="1"/>
  </cols>
  <sheetData>
    <row r="4" spans="2:11" ht="26" x14ac:dyDescent="0.6">
      <c r="E4" s="103" t="s">
        <v>276</v>
      </c>
    </row>
    <row r="5" spans="2:11" ht="26" customHeight="1">
      <c r="E5" s="342" t="inlineStr">
        <is>
          <t>4 de setembro de 2026</t>
        </is>
      </c>
    </row>
    <row r="9" spans="2:11" x14ac:dyDescent="0.35">
      <c r="C9" s="105"/>
      <c r="D9" s="105"/>
      <c r="E9" s="105"/>
      <c r="F9" s="105"/>
      <c r="G9" s="105"/>
    </row>
    <row r="10" spans="2:11" ht="18.5" x14ac:dyDescent="0.35">
      <c r="B10" s="205" t="s">
        <v>96</v>
      </c>
      <c r="C10" s="205"/>
      <c r="D10" s="205"/>
      <c r="E10" s="205"/>
      <c r="F10" s="205"/>
      <c r="G10" s="205"/>
      <c r="H10" s="205"/>
      <c r="I10" s="205"/>
      <c r="J10" s="205"/>
      <c r="K10" s="205"/>
    </row>
    <row r="11" spans="2:11" ht="16" customHeight="1" x14ac:dyDescent="0.35">
      <c r="B11" s="104"/>
    </row>
    <row r="12" spans="2:11" x14ac:dyDescent="0.35">
      <c r="B12" s="186" t="s">
        <v>97</v>
      </c>
      <c r="C12" s="186"/>
      <c r="E12" s="186" t="s">
        <v>108</v>
      </c>
      <c r="F12" s="186"/>
      <c r="G12" s="186"/>
      <c r="H12" s="186"/>
      <c r="I12" s="186"/>
    </row>
    <row r="13" spans="2:11" x14ac:dyDescent="0.35">
      <c r="B13" s="147" t="s">
        <v>98</v>
      </c>
      <c r="C13" s="147">
        <f>Premissas!C20</f>
        <v>127</v>
      </c>
      <c r="E13" s="102" t="s">
        <v>102</v>
      </c>
      <c r="I13" s="126" t="str">
        <f>Premissas!C17</f>
        <v>30.06.2026</v>
      </c>
    </row>
    <row r="14" spans="2:11" x14ac:dyDescent="0.35">
      <c r="B14" s="106" t="s">
        <v>101</v>
      </c>
      <c r="C14" s="106">
        <f>Premissas!C20</f>
        <v>127</v>
      </c>
      <c r="E14" s="102" t="s">
        <v>104</v>
      </c>
      <c r="I14" s="126" t="str">
        <f>Premissas!C18</f>
        <v>R$ milhões</v>
      </c>
    </row>
    <row r="15" spans="2:11" x14ac:dyDescent="0.35">
      <c r="B15" s="102"/>
      <c r="C15" s="102"/>
      <c r="E15" s="202" t="s">
        <v>106</v>
      </c>
      <c r="F15" s="202"/>
      <c r="G15" s="202"/>
      <c r="H15" s="202"/>
      <c r="I15" s="108">
        <f>Premissas!C25</f>
        <v>0.13800000000000001</v>
      </c>
    </row>
    <row r="16" spans="2:11" x14ac:dyDescent="0.35">
      <c r="B16" s="147" t="s">
        <v>99</v>
      </c>
      <c r="C16" s="147">
        <f>Premissas!C21</f>
        <v>127</v>
      </c>
      <c r="E16" s="102" t="s">
        <v>136</v>
      </c>
      <c r="I16" s="108">
        <f>Premissas!C26</f>
        <v>0.4</v>
      </c>
    </row>
    <row r="17" spans="2:11" x14ac:dyDescent="0.35">
      <c r="B17" s="102" t="s">
        <v>101</v>
      </c>
      <c r="C17" s="102">
        <f>Premissas!C21</f>
        <v>127</v>
      </c>
      <c r="E17" s="210" t="s">
        <v>107</v>
      </c>
      <c r="F17" s="210"/>
      <c r="G17" s="210"/>
      <c r="H17" s="210"/>
      <c r="I17" s="109">
        <f>Premissas!C28</f>
        <v>0.34</v>
      </c>
    </row>
    <row r="18" spans="2:11" ht="8.5" customHeight="1" x14ac:dyDescent="0.35">
      <c r="B18" s="102"/>
      <c r="C18" s="102"/>
    </row>
    <row r="19" spans="2:11" x14ac:dyDescent="0.35">
      <c r="B19" s="147" t="s">
        <v>100</v>
      </c>
      <c r="C19" s="147">
        <f>Premissas!C19</f>
        <v>254</v>
      </c>
    </row>
    <row r="20" spans="2:11" x14ac:dyDescent="0.35">
      <c r="B20" s="106" t="s">
        <v>132</v>
      </c>
      <c r="C20" s="146">
        <f>C16/C19</f>
        <v>0.5</v>
      </c>
    </row>
    <row r="21" spans="2:11" x14ac:dyDescent="0.35">
      <c r="B21" s="106" t="s">
        <v>99</v>
      </c>
      <c r="C21" s="146">
        <f>C16/C19</f>
        <v>0.5</v>
      </c>
    </row>
    <row r="22" spans="2:11" x14ac:dyDescent="0.35">
      <c r="B22" s="102"/>
      <c r="C22" s="102"/>
    </row>
    <row r="23" spans="2:11" x14ac:dyDescent="0.35">
      <c r="B23" s="147" t="s">
        <v>231</v>
      </c>
      <c r="C23" s="147">
        <f>Premissas!C22</f>
        <v>800</v>
      </c>
    </row>
    <row r="24" spans="2:11" x14ac:dyDescent="0.35">
      <c r="B24" s="102" t="s">
        <v>232</v>
      </c>
      <c r="C24" s="102">
        <f>Premissas!C23</f>
        <v>822</v>
      </c>
    </row>
    <row r="26" spans="2:11" ht="19" thickBot="1" x14ac:dyDescent="0.4">
      <c r="B26" s="274" t="s">
        <v>270</v>
      </c>
      <c r="C26" s="274"/>
      <c r="D26" s="274"/>
      <c r="E26" s="274"/>
      <c r="F26" s="274"/>
      <c r="G26" s="274"/>
      <c r="H26" s="274"/>
      <c r="I26" s="274"/>
      <c r="J26" s="274"/>
      <c r="K26" s="274"/>
    </row>
    <row r="27" spans="2:11" ht="19" thickTop="1" x14ac:dyDescent="0.35">
      <c r="B27" s="276"/>
      <c r="C27" s="276"/>
      <c r="D27" s="276"/>
      <c r="E27" s="276"/>
      <c r="F27" s="276"/>
      <c r="G27" s="276"/>
      <c r="H27" s="276"/>
      <c r="I27" s="276"/>
      <c r="J27" s="276"/>
      <c r="K27" s="276"/>
    </row>
    <row r="28" spans="2:11" ht="18.5" x14ac:dyDescent="0.35">
      <c r="B28" s="275" t="s">
        <v>133</v>
      </c>
      <c r="C28" s="275"/>
      <c r="D28" s="275"/>
      <c r="E28" s="275"/>
      <c r="F28" s="275"/>
      <c r="G28" s="275"/>
      <c r="H28" s="275"/>
      <c r="I28" s="275"/>
      <c r="J28" s="275"/>
      <c r="K28" s="275"/>
    </row>
    <row r="30" spans="2:11" x14ac:dyDescent="0.35">
      <c r="B30" s="186" t="s">
        <v>109</v>
      </c>
      <c r="C30" s="186"/>
      <c r="D30" s="186"/>
    </row>
    <row r="31" spans="2:11" x14ac:dyDescent="0.35">
      <c r="B31" s="113"/>
      <c r="C31" s="114" t="s">
        <v>110</v>
      </c>
      <c r="D31" s="115" t="s">
        <v>111</v>
      </c>
    </row>
    <row r="32" spans="2:11" x14ac:dyDescent="0.35">
      <c r="B32" s="102" t="s">
        <v>98</v>
      </c>
      <c r="C32" s="116">
        <v>0.5</v>
      </c>
      <c r="D32" s="117">
        <f>C32*(1-I15)</f>
        <v>0.43099999999999999</v>
      </c>
    </row>
    <row r="33" spans="2:10" x14ac:dyDescent="0.35">
      <c r="B33" s="102" t="s">
        <v>99</v>
      </c>
      <c r="C33" s="116">
        <v>0.5</v>
      </c>
      <c r="D33" s="117">
        <f>C33*(1-I15)</f>
        <v>0.43099999999999999</v>
      </c>
    </row>
    <row r="34" spans="2:10" x14ac:dyDescent="0.35">
      <c r="B34" t="s">
        <v>230</v>
      </c>
      <c r="C34" s="111" t="s">
        <v>95</v>
      </c>
      <c r="D34" s="118">
        <f>I15</f>
        <v>0.13800000000000001</v>
      </c>
    </row>
    <row r="35" spans="2:10" x14ac:dyDescent="0.35">
      <c r="D35" s="151">
        <f>SUM(D32:D34)</f>
        <v>1</v>
      </c>
    </row>
    <row r="36" spans="2:10" x14ac:dyDescent="0.35">
      <c r="D36" s="118"/>
    </row>
    <row r="37" spans="2:10" x14ac:dyDescent="0.35">
      <c r="B37" s="186" t="s">
        <v>114</v>
      </c>
      <c r="C37" s="186"/>
      <c r="D37" s="186"/>
    </row>
    <row r="38" spans="2:10" x14ac:dyDescent="0.35">
      <c r="B38" t="s">
        <v>100</v>
      </c>
      <c r="C38">
        <f>C19</f>
        <v>254</v>
      </c>
      <c r="D38" s="112">
        <f>C38/C$40</f>
        <v>0.23605947955390336</v>
      </c>
    </row>
    <row r="39" spans="2:10" x14ac:dyDescent="0.35">
      <c r="B39" t="s">
        <v>231</v>
      </c>
      <c r="C39">
        <f>C24</f>
        <v>822</v>
      </c>
      <c r="D39" s="112">
        <f>C39/C$40</f>
        <v>0.76394052044609662</v>
      </c>
    </row>
    <row r="40" spans="2:10" x14ac:dyDescent="0.35">
      <c r="B40" s="120" t="s">
        <v>112</v>
      </c>
      <c r="C40" s="120">
        <f>C38+C39</f>
        <v>1076</v>
      </c>
      <c r="D40" s="121">
        <f>D38+D39</f>
        <v>1</v>
      </c>
    </row>
    <row r="42" spans="2:10" x14ac:dyDescent="0.35">
      <c r="B42" s="124" t="s">
        <v>113</v>
      </c>
      <c r="C42" s="124">
        <f>C43+C44+C45</f>
        <v>1076</v>
      </c>
    </row>
    <row r="43" spans="2:10" x14ac:dyDescent="0.35">
      <c r="B43" s="102" t="s">
        <v>98</v>
      </c>
      <c r="C43" s="106">
        <f>D32*C40</f>
        <v>463.75599999999997</v>
      </c>
    </row>
    <row r="44" spans="2:10" x14ac:dyDescent="0.35">
      <c r="B44" s="102" t="s">
        <v>99</v>
      </c>
      <c r="C44" s="106">
        <f>D33*C40</f>
        <v>463.75599999999997</v>
      </c>
    </row>
    <row r="45" spans="2:10" x14ac:dyDescent="0.35">
      <c r="B45" s="102" t="s">
        <v>134</v>
      </c>
      <c r="C45" s="106">
        <f>D34*C40</f>
        <v>148.488</v>
      </c>
    </row>
    <row r="47" spans="2:10" x14ac:dyDescent="0.35">
      <c r="B47" s="186" t="s">
        <v>115</v>
      </c>
      <c r="C47" s="186"/>
      <c r="D47" s="186"/>
      <c r="E47" s="186"/>
      <c r="F47" s="186"/>
      <c r="H47" s="186" t="s">
        <v>126</v>
      </c>
      <c r="I47" s="186"/>
      <c r="J47" s="186"/>
    </row>
    <row r="48" spans="2:10" x14ac:dyDescent="0.35">
      <c r="B48" s="214"/>
      <c r="C48" s="214"/>
      <c r="D48" s="132" t="s">
        <v>98</v>
      </c>
      <c r="E48" s="132" t="s">
        <v>99</v>
      </c>
      <c r="F48" s="133" t="s">
        <v>117</v>
      </c>
      <c r="H48" s="145"/>
      <c r="I48" s="132" t="s">
        <v>128</v>
      </c>
      <c r="J48" s="132" t="s">
        <v>129</v>
      </c>
    </row>
    <row r="49" spans="2:11" x14ac:dyDescent="0.35">
      <c r="B49" s="209" t="s">
        <v>116</v>
      </c>
      <c r="C49" s="209"/>
      <c r="D49" s="122">
        <f>C14</f>
        <v>127</v>
      </c>
      <c r="E49" s="135">
        <f>C14</f>
        <v>127</v>
      </c>
      <c r="F49" s="136">
        <f>D49+E49</f>
        <v>254</v>
      </c>
      <c r="H49" s="102" t="s">
        <v>127</v>
      </c>
      <c r="I49" s="129">
        <f>D50</f>
        <v>411</v>
      </c>
      <c r="J49" s="102"/>
    </row>
    <row r="50" spans="2:11" x14ac:dyDescent="0.35">
      <c r="B50" s="202" t="s">
        <v>118</v>
      </c>
      <c r="C50" s="202"/>
      <c r="D50" s="102">
        <f>C39/2</f>
        <v>411</v>
      </c>
      <c r="E50" s="129">
        <f>C39/2</f>
        <v>411</v>
      </c>
      <c r="F50" s="110">
        <f>D50+E50</f>
        <v>822</v>
      </c>
      <c r="H50" s="102" t="s">
        <v>130</v>
      </c>
      <c r="I50" s="129"/>
      <c r="J50" s="144">
        <f>D51</f>
        <v>-74.244</v>
      </c>
    </row>
    <row r="51" spans="2:11" x14ac:dyDescent="0.35">
      <c r="B51" s="202" t="s">
        <v>119</v>
      </c>
      <c r="C51" s="202"/>
      <c r="D51" s="130">
        <f>-(D49+D50)*I15</f>
        <v>-74.244</v>
      </c>
      <c r="E51" s="131">
        <f>-(E49+E50)*I15</f>
        <v>-74.244</v>
      </c>
      <c r="F51" s="128">
        <f>D51+E51</f>
        <v>-148.488</v>
      </c>
      <c r="H51" s="208" t="s">
        <v>131</v>
      </c>
      <c r="I51" s="208"/>
      <c r="J51" s="141">
        <f>I49+J50</f>
        <v>336.75599999999997</v>
      </c>
    </row>
    <row r="52" spans="2:11" x14ac:dyDescent="0.35">
      <c r="B52" s="212" t="s">
        <v>120</v>
      </c>
      <c r="C52" s="212"/>
      <c r="D52" s="137">
        <f>D50+D51</f>
        <v>336.75599999999997</v>
      </c>
      <c r="E52" s="138">
        <f>E50+E51</f>
        <v>336.75599999999997</v>
      </c>
      <c r="F52" s="137">
        <f>D52+E52</f>
        <v>673.51199999999994</v>
      </c>
    </row>
    <row r="53" spans="2:11" x14ac:dyDescent="0.35">
      <c r="B53" s="134"/>
      <c r="C53" s="134"/>
      <c r="D53" s="139"/>
      <c r="E53" s="139"/>
      <c r="F53" s="139"/>
    </row>
    <row r="54" spans="2:11" x14ac:dyDescent="0.35">
      <c r="B54" s="186" t="s">
        <v>124</v>
      </c>
      <c r="C54" s="186"/>
      <c r="D54" s="186"/>
      <c r="E54" s="186"/>
      <c r="F54" s="122"/>
    </row>
    <row r="55" spans="2:11" x14ac:dyDescent="0.35">
      <c r="B55" s="213" t="s">
        <v>121</v>
      </c>
      <c r="C55" s="213"/>
      <c r="D55" s="142" t="s">
        <v>125</v>
      </c>
      <c r="E55" s="142">
        <f>2*(D56+D57)</f>
        <v>927.51199999999994</v>
      </c>
    </row>
    <row r="56" spans="2:11" x14ac:dyDescent="0.35">
      <c r="B56" s="202" t="s">
        <v>122</v>
      </c>
      <c r="C56" s="202"/>
      <c r="D56" s="140">
        <f>C14</f>
        <v>127</v>
      </c>
      <c r="E56" s="140">
        <f>C17</f>
        <v>127</v>
      </c>
    </row>
    <row r="57" spans="2:11" x14ac:dyDescent="0.35">
      <c r="B57" s="210" t="s">
        <v>123</v>
      </c>
      <c r="C57" s="210"/>
      <c r="D57" s="143">
        <f>D52</f>
        <v>336.75599999999997</v>
      </c>
      <c r="E57" s="143">
        <f>E52</f>
        <v>336.75599999999997</v>
      </c>
    </row>
    <row r="58" spans="2:11" x14ac:dyDescent="0.35">
      <c r="D58" s="127"/>
      <c r="E58" s="127"/>
    </row>
    <row r="60" spans="2:11" ht="18.5" x14ac:dyDescent="0.35">
      <c r="B60" s="205" t="s">
        <v>137</v>
      </c>
      <c r="C60" s="205"/>
      <c r="D60" s="205"/>
      <c r="E60" s="205"/>
      <c r="F60" s="205"/>
      <c r="G60" s="205"/>
      <c r="H60" s="205"/>
      <c r="I60" s="205"/>
      <c r="J60" s="205"/>
      <c r="K60" s="205"/>
    </row>
    <row r="62" spans="2:11" x14ac:dyDescent="0.35">
      <c r="B62" s="211" t="s">
        <v>152</v>
      </c>
      <c r="C62" s="211"/>
      <c r="D62" s="152">
        <f>D32</f>
        <v>0.43099999999999999</v>
      </c>
    </row>
    <row r="63" spans="2:11" ht="5.5" customHeight="1" x14ac:dyDescent="0.35">
      <c r="B63" s="125"/>
      <c r="C63" s="125"/>
      <c r="D63" s="150"/>
    </row>
    <row r="64" spans="2:11" x14ac:dyDescent="0.35">
      <c r="B64" s="206" t="s">
        <v>135</v>
      </c>
      <c r="C64" s="206"/>
      <c r="D64" s="121">
        <f>I16</f>
        <v>0.4</v>
      </c>
    </row>
    <row r="65" spans="2:11" x14ac:dyDescent="0.35">
      <c r="B65" s="207" t="s">
        <v>138</v>
      </c>
      <c r="C65" s="207"/>
      <c r="D65" s="153">
        <f>I15</f>
        <v>0.13800000000000001</v>
      </c>
    </row>
    <row r="66" spans="2:11" x14ac:dyDescent="0.35">
      <c r="B66" s="208" t="s">
        <v>139</v>
      </c>
      <c r="C66" s="208"/>
      <c r="D66" s="151">
        <f>D64-D65</f>
        <v>0.26200000000000001</v>
      </c>
    </row>
    <row r="67" spans="2:11" x14ac:dyDescent="0.35">
      <c r="B67" s="210" t="s">
        <v>151</v>
      </c>
      <c r="C67" s="210"/>
      <c r="D67" s="109">
        <f>D66/2</f>
        <v>0.13100000000000001</v>
      </c>
    </row>
    <row r="68" spans="2:11" x14ac:dyDescent="0.35">
      <c r="B68" s="209" t="s">
        <v>149</v>
      </c>
      <c r="C68" s="209"/>
      <c r="D68" s="148">
        <f>Premissas!C27</f>
        <v>1200</v>
      </c>
    </row>
    <row r="69" spans="2:11" x14ac:dyDescent="0.35">
      <c r="B69" s="202" t="s">
        <v>98</v>
      </c>
      <c r="C69" s="202"/>
      <c r="D69" s="149">
        <f>D68/2</f>
        <v>600</v>
      </c>
    </row>
    <row r="70" spans="2:11" x14ac:dyDescent="0.35">
      <c r="B70" s="202" t="s">
        <v>99</v>
      </c>
      <c r="C70" s="202"/>
      <c r="D70" s="149">
        <f>D68/2</f>
        <v>600</v>
      </c>
    </row>
    <row r="71" spans="2:11" x14ac:dyDescent="0.35">
      <c r="B71" s="204" t="s">
        <v>153</v>
      </c>
      <c r="C71" s="204"/>
      <c r="D71" s="154">
        <f>D67/D62</f>
        <v>0.30394431554524365</v>
      </c>
    </row>
    <row r="72" spans="2:11" x14ac:dyDescent="0.35">
      <c r="D72" s="150"/>
    </row>
    <row r="73" spans="2:11" x14ac:dyDescent="0.35">
      <c r="B73" s="186" t="s">
        <v>144</v>
      </c>
      <c r="C73" s="186"/>
      <c r="D73" s="186"/>
      <c r="E73" s="186"/>
      <c r="F73" s="186"/>
    </row>
    <row r="74" spans="2:11" x14ac:dyDescent="0.35">
      <c r="B74" s="113"/>
      <c r="C74" s="115" t="s">
        <v>141</v>
      </c>
      <c r="D74" s="203" t="s">
        <v>142</v>
      </c>
      <c r="E74" s="203"/>
      <c r="F74" s="115" t="s">
        <v>143</v>
      </c>
    </row>
    <row r="75" spans="2:11" x14ac:dyDescent="0.35">
      <c r="B75" s="102" t="s">
        <v>98</v>
      </c>
      <c r="C75" s="108">
        <f>D32</f>
        <v>0.43099999999999999</v>
      </c>
      <c r="D75" s="187">
        <f>-D66/2</f>
        <v>-0.13100000000000001</v>
      </c>
      <c r="E75" s="187"/>
      <c r="F75" s="118">
        <f>C75+D75</f>
        <v>0.3</v>
      </c>
    </row>
    <row r="76" spans="2:11" x14ac:dyDescent="0.35">
      <c r="B76" s="149" t="s">
        <v>99</v>
      </c>
      <c r="C76" s="150">
        <f>D33</f>
        <v>0.43099999999999999</v>
      </c>
      <c r="D76" s="187">
        <f>-D66/2</f>
        <v>-0.13100000000000001</v>
      </c>
      <c r="E76" s="187"/>
      <c r="F76" s="118">
        <f>C76+D76</f>
        <v>0.3</v>
      </c>
    </row>
    <row r="77" spans="2:11" x14ac:dyDescent="0.35">
      <c r="B77" s="102" t="s">
        <v>134</v>
      </c>
      <c r="C77" s="108">
        <f>D34</f>
        <v>0.13800000000000001</v>
      </c>
      <c r="D77" s="198">
        <f>D66</f>
        <v>0.26200000000000001</v>
      </c>
      <c r="E77" s="197"/>
      <c r="F77" s="118">
        <f>C77+D77</f>
        <v>0.4</v>
      </c>
    </row>
    <row r="78" spans="2:11" x14ac:dyDescent="0.35">
      <c r="B78" s="119" t="s">
        <v>140</v>
      </c>
      <c r="C78" s="151">
        <f>SUM(C75:C77)</f>
        <v>1</v>
      </c>
      <c r="D78" s="199">
        <f>SUM(D75:E77)</f>
        <v>0</v>
      </c>
      <c r="E78" s="200"/>
      <c r="F78" s="151">
        <f>SUM(F75:F77)</f>
        <v>1</v>
      </c>
    </row>
    <row r="80" spans="2:11" ht="18.5" x14ac:dyDescent="0.35">
      <c r="B80" s="205" t="s">
        <v>272</v>
      </c>
      <c r="C80" s="205"/>
      <c r="D80" s="205"/>
      <c r="E80" s="205"/>
      <c r="F80" s="205"/>
      <c r="G80" s="205"/>
      <c r="H80" s="205"/>
      <c r="I80" s="205"/>
      <c r="J80" s="205"/>
      <c r="K80" s="205"/>
    </row>
    <row r="82" spans="2:11" x14ac:dyDescent="0.35">
      <c r="B82" s="186" t="s">
        <v>161</v>
      </c>
      <c r="C82" s="186"/>
      <c r="D82" s="186"/>
      <c r="E82" s="186"/>
      <c r="F82" s="186"/>
      <c r="G82" s="186"/>
      <c r="I82" s="186" t="s">
        <v>162</v>
      </c>
      <c r="J82" s="186"/>
      <c r="K82" s="186"/>
    </row>
    <row r="83" spans="2:11" x14ac:dyDescent="0.35">
      <c r="B83" s="165" t="s">
        <v>147</v>
      </c>
      <c r="C83" s="201" t="s">
        <v>146</v>
      </c>
      <c r="D83" s="201"/>
      <c r="E83" s="201" t="s">
        <v>145</v>
      </c>
      <c r="F83" s="201"/>
      <c r="G83" s="164"/>
      <c r="I83" s="171" t="s">
        <v>163</v>
      </c>
      <c r="J83" s="171" t="s">
        <v>164</v>
      </c>
    </row>
    <row r="84" spans="2:11" x14ac:dyDescent="0.35">
      <c r="B84" t="s">
        <v>148</v>
      </c>
      <c r="C84" s="188">
        <f>D69</f>
        <v>600</v>
      </c>
      <c r="D84" s="188"/>
      <c r="E84" s="188">
        <f>D70</f>
        <v>600</v>
      </c>
      <c r="F84" s="188"/>
      <c r="I84">
        <f>2*C84</f>
        <v>1200</v>
      </c>
      <c r="J84">
        <f>2*E84</f>
        <v>1200</v>
      </c>
    </row>
    <row r="85" spans="2:11" x14ac:dyDescent="0.35">
      <c r="B85" s="102" t="s">
        <v>150</v>
      </c>
      <c r="C85" s="197">
        <f>C14</f>
        <v>127</v>
      </c>
      <c r="D85" s="197"/>
      <c r="E85" s="192">
        <f>E55/2</f>
        <v>463.75599999999997</v>
      </c>
      <c r="F85" s="192"/>
      <c r="I85">
        <f>2*C85</f>
        <v>254</v>
      </c>
      <c r="J85" s="157">
        <f>2*E85</f>
        <v>927.51199999999994</v>
      </c>
    </row>
    <row r="86" spans="2:11" x14ac:dyDescent="0.35">
      <c r="B86" s="155" t="s">
        <v>154</v>
      </c>
      <c r="C86" s="193">
        <f>C85*D71</f>
        <v>38.600928074245942</v>
      </c>
      <c r="D86" s="193"/>
      <c r="E86" s="193">
        <f>E85*D71</f>
        <v>140.95600000000002</v>
      </c>
      <c r="F86" s="193"/>
      <c r="I86" s="157">
        <f>2*C86</f>
        <v>77.201856148491885</v>
      </c>
      <c r="J86" s="157">
        <f>2*E86</f>
        <v>281.91200000000003</v>
      </c>
    </row>
    <row r="87" spans="2:11" x14ac:dyDescent="0.35">
      <c r="B87" s="119" t="s">
        <v>155</v>
      </c>
      <c r="C87" s="194">
        <f>C84-C86</f>
        <v>561.39907192575401</v>
      </c>
      <c r="D87" s="194"/>
      <c r="E87" s="194">
        <f>E84-E86</f>
        <v>459.04399999999998</v>
      </c>
      <c r="F87" s="194"/>
      <c r="I87" s="167">
        <f>2*C87</f>
        <v>1122.798143851508</v>
      </c>
      <c r="J87" s="167">
        <f>2*E87</f>
        <v>918.08799999999997</v>
      </c>
    </row>
    <row r="88" spans="2:11" x14ac:dyDescent="0.35">
      <c r="C88" s="188"/>
      <c r="D88" s="188"/>
      <c r="E88" s="188"/>
      <c r="F88" s="188"/>
    </row>
    <row r="89" spans="2:11" x14ac:dyDescent="0.35">
      <c r="B89" s="102" t="s">
        <v>156</v>
      </c>
      <c r="C89" s="193">
        <f>C87*34%</f>
        <v>190.87568445475637</v>
      </c>
      <c r="D89" s="193"/>
      <c r="E89" s="193">
        <f>34%*E87</f>
        <v>156.07496</v>
      </c>
      <c r="F89" s="193"/>
      <c r="G89" s="159" t="s">
        <v>160</v>
      </c>
      <c r="I89" s="157">
        <f>2*C89</f>
        <v>381.75136890951273</v>
      </c>
      <c r="J89" s="157">
        <f>2*E89</f>
        <v>312.14992000000001</v>
      </c>
      <c r="K89" s="159" t="s">
        <v>160</v>
      </c>
    </row>
    <row r="90" spans="2:11" x14ac:dyDescent="0.35">
      <c r="B90" s="156" t="s">
        <v>157</v>
      </c>
      <c r="C90" s="195">
        <f>C84-C89</f>
        <v>409.12431554524363</v>
      </c>
      <c r="D90" s="196"/>
      <c r="E90" s="195">
        <f>E84-E89</f>
        <v>443.92503999999997</v>
      </c>
      <c r="F90" s="196"/>
      <c r="G90" s="160">
        <f>E90-C90</f>
        <v>34.800724454756335</v>
      </c>
      <c r="I90" s="166">
        <f>2*C90</f>
        <v>818.24863109048727</v>
      </c>
      <c r="J90" s="166">
        <f>2*E90</f>
        <v>887.85007999999993</v>
      </c>
      <c r="K90" s="168">
        <f>J90-I90</f>
        <v>69.601448909512669</v>
      </c>
    </row>
    <row r="91" spans="2:11" x14ac:dyDescent="0.35">
      <c r="B91" s="102" t="s">
        <v>158</v>
      </c>
      <c r="C91" s="187">
        <f>C89/C84</f>
        <v>0.31812614075792728</v>
      </c>
      <c r="D91" s="187"/>
      <c r="E91" s="187">
        <f>E89/E84</f>
        <v>0.26012493333333336</v>
      </c>
      <c r="F91" s="187"/>
      <c r="G91" s="161">
        <f>C91-E91</f>
        <v>5.8001207424593915E-2</v>
      </c>
      <c r="I91" s="107">
        <f>C91</f>
        <v>0.31812614075792728</v>
      </c>
      <c r="J91" s="107">
        <f>E91</f>
        <v>0.26012493333333336</v>
      </c>
      <c r="K91" s="169">
        <f>I91-J91</f>
        <v>5.8001207424593915E-2</v>
      </c>
    </row>
    <row r="92" spans="2:11" x14ac:dyDescent="0.35">
      <c r="C92" s="188"/>
      <c r="D92" s="188"/>
      <c r="E92" s="188"/>
      <c r="F92" s="188"/>
      <c r="G92" s="162"/>
      <c r="K92" s="170"/>
    </row>
    <row r="93" spans="2:11" x14ac:dyDescent="0.35">
      <c r="B93" s="123" t="s">
        <v>159</v>
      </c>
      <c r="C93" s="191">
        <f>C85-C86</f>
        <v>88.399071925754058</v>
      </c>
      <c r="D93" s="190"/>
      <c r="E93" s="189">
        <f>E85-E86</f>
        <v>322.79999999999995</v>
      </c>
      <c r="F93" s="190"/>
      <c r="G93" s="163">
        <f>E93-C93</f>
        <v>234.40092807424588</v>
      </c>
      <c r="I93" s="158">
        <f>2*C93</f>
        <v>176.79814385150812</v>
      </c>
      <c r="J93" s="122">
        <f>2*E93</f>
        <v>645.59999999999991</v>
      </c>
      <c r="K93" s="168">
        <f>J93-I93</f>
        <v>468.80185614849177</v>
      </c>
    </row>
    <row r="97" ht="15" thickTop="1" x14ac:dyDescent="0.35"/>
  </sheetData>
  <mergeCells count="63">
    <mergeCell ref="B96:K96"/>
    <mergeCell ref="B26:K26"/>
    <mergeCell ref="B28:K28"/>
    <mergeCell ref="B12:C12"/>
    <mergeCell ref="B30:D30"/>
    <mergeCell ref="B37:D37"/>
    <mergeCell ref="B80:K80"/>
    <mergeCell ref="B68:C68"/>
    <mergeCell ref="B67:C67"/>
    <mergeCell ref="B62:C62"/>
    <mergeCell ref="B57:C57"/>
    <mergeCell ref="B54:E54"/>
    <mergeCell ref="B55:C55"/>
    <mergeCell ref="B56:C56"/>
    <mergeCell ref="B10:K10"/>
    <mergeCell ref="B60:K60"/>
    <mergeCell ref="B64:C64"/>
    <mergeCell ref="B65:C65"/>
    <mergeCell ref="B66:C66"/>
    <mergeCell ref="H47:J47"/>
    <mergeCell ref="H51:I51"/>
    <mergeCell ref="B50:C50"/>
    <mergeCell ref="B47:F47"/>
    <mergeCell ref="B51:C51"/>
    <mergeCell ref="B52:C52"/>
    <mergeCell ref="B49:C49"/>
    <mergeCell ref="E15:H15"/>
    <mergeCell ref="E17:H17"/>
    <mergeCell ref="E12:I12"/>
    <mergeCell ref="B48:C48"/>
    <mergeCell ref="C84:D84"/>
    <mergeCell ref="B69:C69"/>
    <mergeCell ref="B70:C70"/>
    <mergeCell ref="D74:E74"/>
    <mergeCell ref="D75:E75"/>
    <mergeCell ref="D76:E76"/>
    <mergeCell ref="B71:C71"/>
    <mergeCell ref="D77:E77"/>
    <mergeCell ref="D78:E78"/>
    <mergeCell ref="B73:F73"/>
    <mergeCell ref="C83:D83"/>
    <mergeCell ref="E83:F83"/>
    <mergeCell ref="C86:D86"/>
    <mergeCell ref="C87:D87"/>
    <mergeCell ref="C88:D88"/>
    <mergeCell ref="C89:D89"/>
    <mergeCell ref="C90:D90"/>
    <mergeCell ref="I82:K82"/>
    <mergeCell ref="E91:F91"/>
    <mergeCell ref="E92:F92"/>
    <mergeCell ref="E93:F93"/>
    <mergeCell ref="B82:G82"/>
    <mergeCell ref="C91:D91"/>
    <mergeCell ref="C92:D92"/>
    <mergeCell ref="C93:D93"/>
    <mergeCell ref="E84:F84"/>
    <mergeCell ref="E85:F85"/>
    <mergeCell ref="E86:F86"/>
    <mergeCell ref="E87:F87"/>
    <mergeCell ref="E88:F88"/>
    <mergeCell ref="E89:F89"/>
    <mergeCell ref="E90:F90"/>
    <mergeCell ref="C85:D8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9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3:Q66"/>
  <sheetViews>
    <sheetView showGridLines="0" zoomScale="90" zoomScaleNormal="90" workbookViewId="0">
      <selection activeCell="B6" sqref="B6"/>
    </sheetView>
  </sheetViews>
  <sheetFormatPr defaultColWidth="8.90625" defaultRowHeight="14.5"/>
  <cols>
    <col min="1" max="1" width="7.54296875" customWidth="1"/>
    <col min="2" max="2" width="46.1796875" customWidth="1"/>
    <col min="3" max="3" width="21.7265625" customWidth="1"/>
    <col min="4" max="4" width="16.54296875" customWidth="1"/>
    <col min="5" max="5" width="18" customWidth="1"/>
    <col min="6" max="6" width="16.26953125" customWidth="1"/>
    <col min="7" max="7" width="11.54296875" customWidth="1"/>
    <col min="8" max="8" width="10.54296875" customWidth="1"/>
    <col min="9" max="9" width="9" customWidth="1"/>
    <col min="10" max="10" width="9" customWidth="1"/>
    <col min="11" max="11" width="9" customWidth="1"/>
  </cols>
  <sheetData>
    <row r="4" ht="26" customHeight="1">
      <c r="C4" s="277" t="inlineStr">
        <is>
          <t xml:space="preserve">Alienação Futura — Análise dos Cenários</t>
        </is>
      </c>
    </row>
    <row r="5" ht="44" customHeight="1">
      <c r="C5" s="342" t="inlineStr">
        <is>
          <t xml:space="preserve">4 de setembro de 2026</t>
        </is>
      </c>
    </row>
    <row r="6" ht="18.5" customHeight="1">
      <c r="B6" s="278" t="inlineStr">
        <is>
          <t xml:space="preserve">1) Premissas utilizadas na simulação da venda futura dos 60%</t>
        </is>
      </c>
      <c r="C6" s="278"/>
      <c r="D6" s="278"/>
      <c r="E6" s="278"/>
      <c r="F6" s="278"/>
      <c r="G6" s="278"/>
      <c r="H6" s="278"/>
      <c r="I6" s="278"/>
      <c r="J6" s="278"/>
      <c r="K6" s="278"/>
    </row>
    <row r="8" ht="16" customHeight="1">
      <c r="B8" s="294" t="inlineStr">
        <is>
          <t xml:space="preserve">Informação</t>
        </is>
      </c>
      <c r="C8" s="295" t="inlineStr">
        <is>
          <t xml:space="preserve">Valor</t>
        </is>
      </c>
      <c r="D8" s="294" t="inlineStr">
        <is>
          <t xml:space="preserve">Origem</t>
        </is>
      </c>
      <c r="E8" s="294"/>
      <c r="F8" s="294"/>
      <c r="G8" s="294"/>
      <c r="H8" s="294"/>
      <c r="I8" s="294"/>
      <c r="J8" s="294"/>
      <c r="K8" s="294"/>
    </row>
    <row r="9" ht="30" customHeight="1">
      <c r="B9" s="286" t="inlineStr">
        <is>
          <t xml:space="preserve">Participação final das famílias (Savian + JVFJ)</t>
        </is>
      </c>
      <c r="C9" s="323">
        <f>Premissas!C36</f>
        <v>0.6</v>
      </c>
      <c r="D9" s="286" t="inlineStr">
        <is>
          <t xml:space="preserve">Aba Premissas</t>
        </is>
      </c>
      <c r="E9" s="286"/>
      <c r="F9" s="286"/>
      <c r="G9" s="286"/>
      <c r="H9" s="286"/>
      <c r="I9" s="286"/>
      <c r="J9" s="286"/>
      <c r="K9" s="286"/>
    </row>
    <row r="10" ht="15" customHeight="1">
      <c r="B10" s="286" t="inlineStr">
        <is>
          <t xml:space="preserve">IRPJ/CSLL — ganho de capital das Holdings</t>
        </is>
      </c>
      <c r="C10" s="323">
        <f>Premissas!C28</f>
        <v>0.34</v>
      </c>
      <c r="D10" s="286" t="inlineStr">
        <is>
          <t xml:space="preserve">Aba Premissas</t>
        </is>
      </c>
      <c r="E10" s="286"/>
      <c r="F10" s="286"/>
      <c r="G10" s="286"/>
      <c r="H10" s="286"/>
      <c r="I10" s="286"/>
      <c r="J10" s="286"/>
      <c r="K10" s="286"/>
    </row>
    <row r="11" ht="30" customHeight="1">
      <c r="B11" s="286" t="inlineStr">
        <is>
          <t xml:space="preserve">IR — ganho de capital das pessoas físicas (simplificada)</t>
        </is>
      </c>
      <c r="C11" s="323">
        <f>Premissas!C29</f>
        <v>0.225</v>
      </c>
      <c r="D11" s="286" t="inlineStr">
        <is>
          <t xml:space="preserve">Aba Premissas</t>
        </is>
      </c>
      <c r="E11" s="286"/>
      <c r="F11" s="286"/>
      <c r="G11" s="286"/>
      <c r="H11" s="286"/>
      <c r="I11" s="286"/>
      <c r="J11" s="286"/>
      <c r="K11" s="286"/>
    </row>
    <row r="12" ht="30" customHeight="1">
      <c r="B12" s="286" t="inlineStr">
        <is>
          <t xml:space="preserve">Custo das quotas das Holdings nas pessoas físicas</t>
        </is>
      </c>
      <c r="C12" s="302">
        <f>Premissas!C30</f>
        <v>18</v>
      </c>
      <c r="D12" s="286" t="inlineStr">
        <is>
          <t xml:space="preserve">Aba Premissas — premissa ilustrativa, a confirmar</t>
        </is>
      </c>
      <c r="E12" s="286"/>
      <c r="F12" s="286"/>
      <c r="G12" s="286"/>
      <c r="H12" s="286"/>
      <c r="I12" s="286"/>
      <c r="J12" s="286"/>
      <c r="K12" s="286"/>
    </row>
    <row r="13" ht="30" customHeight="1">
      <c r="B13" s="286" t="inlineStr">
        <is>
          <t xml:space="preserve">Custo fiscal do investimento — CPC 15 (custo incrementado remanescente após o cash-out)</t>
        </is>
      </c>
      <c r="C13" s="302">
        <f>'Cálculos da Operação'!J93</f>
        <v>645.6</v>
      </c>
      <c r="D13" s="286" t="inlineStr">
        <is>
          <t xml:space="preserve">Aba 'Cálculos da Operação', cenário B (custo remanescente)</t>
        </is>
      </c>
      <c r="E13" s="286"/>
      <c r="F13" s="286"/>
      <c r="G13" s="286"/>
      <c r="H13" s="286"/>
      <c r="I13" s="286"/>
      <c r="J13" s="286"/>
      <c r="K13" s="286"/>
    </row>
    <row r="14" ht="30" customHeight="1">
      <c r="B14" s="286" t="inlineStr">
        <is>
          <t xml:space="preserve">Custo fiscal original remanescente — CPC 15 (cenário A)</t>
        </is>
      </c>
      <c r="C14" s="302">
        <f>'Cálculos da Operação'!I93</f>
        <v>176.798143851508</v>
      </c>
      <c r="D14" s="286" t="inlineStr">
        <is>
          <t xml:space="preserve">Aba 'Cálculos da Operação', cenário A — usado na análise hipotética (RISCO 1)</t>
        </is>
      </c>
      <c r="E14" s="286"/>
      <c r="F14" s="286"/>
      <c r="G14" s="286"/>
      <c r="H14" s="286"/>
      <c r="I14" s="286"/>
      <c r="J14" s="286"/>
      <c r="K14" s="286"/>
    </row>
    <row r="15" ht="30" customHeight="1">
      <c r="B15" s="286" t="inlineStr">
        <is>
          <t xml:space="preserve">Mais-valia da CNP contida no custo CPC 15 (60%)</t>
        </is>
      </c>
      <c r="C15" s="302">
        <f>Premissas!C37*Premissas!C36</f>
        <v>13.2</v>
      </c>
      <c r="D15" s="286" t="inlineStr">
        <is>
          <t xml:space="preserve">Aba Premissas (valor de mercado − PL contábil) × 60% — usada na análise hipotética (RISCO 2)</t>
        </is>
      </c>
      <c r="E15" s="286"/>
      <c r="F15" s="286"/>
      <c r="G15" s="286"/>
      <c r="H15" s="286"/>
      <c r="I15" s="286"/>
      <c r="J15" s="286"/>
      <c r="K15" s="286"/>
    </row>
    <row r="16" ht="15" customHeight="1">
      <c r="B16" s="286" t="inlineStr">
        <is>
          <t xml:space="preserve">Base contábil — CPC 19 (60%)</t>
        </is>
      </c>
      <c r="C16" s="302">
        <f>'CPC 19'!D23</f>
        <v>632.4</v>
      </c>
      <c r="D16" s="286" t="inlineStr">
        <is>
          <t xml:space="preserve">Aba CPC 19</t>
        </is>
      </c>
      <c r="E16" s="286"/>
      <c r="F16" s="286"/>
      <c r="G16" s="286"/>
      <c r="H16" s="286"/>
      <c r="I16" s="286"/>
      <c r="J16" s="286"/>
      <c r="K16" s="286"/>
    </row>
    <row r="17" ht="30" customHeight="1">
      <c r="B17" s="286" t="inlineStr">
        <is>
          <t xml:space="preserve">Ganho de AVJ com tributação diferida — CPC 19 (60%)</t>
        </is>
      </c>
      <c r="C17" s="302">
        <f>'CPC 19'!D24</f>
        <v>2940.6</v>
      </c>
      <c r="D17" s="286" t="inlineStr">
        <is>
          <t xml:space="preserve">Aba CPC 19</t>
        </is>
      </c>
      <c r="E17" s="286"/>
      <c r="F17" s="286"/>
      <c r="G17" s="286"/>
      <c r="H17" s="286"/>
      <c r="I17" s="286"/>
      <c r="J17" s="286"/>
      <c r="K17" s="286"/>
    </row>
    <row r="18" ht="15" customHeight="1">
      <c r="B18" s="286" t="inlineStr">
        <is>
          <t xml:space="preserve">IR diferido 'carimbado' — CPC 19 (34% × AVJ)</t>
        </is>
      </c>
      <c r="C18" s="302">
        <f>'CPC 19'!D25</f>
        <v>999.804</v>
      </c>
      <c r="D18" s="286" t="inlineStr">
        <is>
          <t xml:space="preserve">Aba CPC 19</t>
        </is>
      </c>
      <c r="E18" s="286"/>
      <c r="F18" s="286"/>
      <c r="G18" s="286"/>
      <c r="H18" s="286"/>
      <c r="I18" s="286"/>
      <c r="J18" s="286"/>
      <c r="K18" s="286"/>
    </row>
    <row r="19" ht="30" customHeight="1">
      <c r="B19" s="286" t="inlineStr">
        <is>
          <t xml:space="preserve">Custo do investimento — CPC 19 (60% do valor justo da JO)</t>
        </is>
      </c>
      <c r="C19" s="302">
        <f>'CPC 19'!D26</f>
        <v>3573</v>
      </c>
      <c r="D19" s="286" t="inlineStr">
        <is>
          <t xml:space="preserve">Aba CPC 19</t>
        </is>
      </c>
      <c r="E19" s="286"/>
      <c r="F19" s="286"/>
      <c r="G19" s="286"/>
      <c r="H19" s="286"/>
      <c r="I19" s="286"/>
      <c r="J19" s="286"/>
      <c r="K19" s="286"/>
    </row>
    <row r="20" ht="15" customHeight="1">
      <c r="B20" s="286" t="inlineStr">
        <is>
          <t xml:space="preserve">Preço de venda — abaixo do valor justo</t>
        </is>
      </c>
      <c r="C20" s="308">
        <f>Premissas!C31</f>
        <v>1000</v>
      </c>
      <c r="D20" s="286" t="inlineStr">
        <is>
          <t xml:space="preserve">Aba Premissas</t>
        </is>
      </c>
      <c r="E20" s="286"/>
      <c r="F20" s="286"/>
      <c r="G20" s="286"/>
      <c r="H20" s="286"/>
      <c r="I20" s="286"/>
      <c r="J20" s="286"/>
      <c r="K20" s="286"/>
    </row>
    <row r="21" ht="30" customHeight="1">
      <c r="B21" s="286" t="inlineStr">
        <is>
          <t xml:space="preserve">Preço de venda — igual ao valor justo (60% do valor justo da JO)</t>
        </is>
      </c>
      <c r="C21" s="308">
        <f>Premissas!C32</f>
        <v>3573</v>
      </c>
      <c r="D21" s="286" t="inlineStr">
        <is>
          <t xml:space="preserve">Aba Premissas (= aba CPC 19)</t>
        </is>
      </c>
      <c r="E21" s="286"/>
      <c r="F21" s="286"/>
      <c r="G21" s="286"/>
      <c r="H21" s="286"/>
      <c r="I21" s="286"/>
      <c r="J21" s="286"/>
      <c r="K21" s="286"/>
    </row>
    <row r="22" ht="15" customHeight="1">
      <c r="B22" s="286" t="inlineStr">
        <is>
          <t xml:space="preserve">Preço de venda — acima do valor justo</t>
        </is>
      </c>
      <c r="C22" s="308">
        <f>Premissas!C33</f>
        <v>5000</v>
      </c>
      <c r="D22" s="286" t="inlineStr">
        <is>
          <t xml:space="preserve">Aba Premissas</t>
        </is>
      </c>
      <c r="E22" s="286"/>
      <c r="F22" s="286"/>
      <c r="G22" s="286"/>
      <c r="H22" s="286"/>
      <c r="I22" s="286"/>
      <c r="J22" s="286"/>
      <c r="K22" s="286"/>
    </row>
    <row r="24" ht="18.5" customHeight="1">
      <c r="B24" s="278" t="inlineStr">
        <is>
          <t xml:space="preserve">2) Venda futura dos 60% — PJ x PF</t>
        </is>
      </c>
      <c r="C24" s="278"/>
      <c r="D24" s="278"/>
      <c r="E24" s="278"/>
      <c r="F24" s="278"/>
      <c r="G24" s="278"/>
      <c r="H24" s="278"/>
      <c r="I24" s="278"/>
      <c r="J24" s="278"/>
      <c r="K24" s="278"/>
    </row>
    <row r="26" ht="64.0" customHeight="1">
      <c r="B26" s="284" t="inlineStr">
        <is>
          <t xml:space="preserve">Simulamos a venda dos 60% remanescentes em três preços — abaixo, igual e acima do valor justo (60% do valor justo da JO). No CPC 15, o imposto incide sobre a diferença entre o preço e o custo fiscal incrementado remanescente (aba 'Cálculos da Operação'). No CPC 19, o imposto diferido de 34% sobre o AVJ é devido de qualquer forma e funciona como piso; se o preço superar o valor justo, o excedente também é tributado. Na venda pelas pessoas físicas (após 'subir' as ações das Holdings para as PFs), aplica-se a alíquota simplificada de 22,5% sobre o ganho; porém o custo das PFs é o custo das quotas das Holdings, muito inferior ao custo da Holding, e no CPC 19 o imposto carimbado permanece na Holding mesmo que a venda seja feita pela PF.</t>
        </is>
      </c>
      <c r="C26" s="284"/>
      <c r="D26" s="284"/>
      <c r="E26" s="284"/>
      <c r="F26" s="284"/>
      <c r="G26" s="284"/>
      <c r="H26" s="284"/>
      <c r="I26" s="284"/>
      <c r="J26" s="284"/>
      <c r="K26" s="284"/>
    </row>
    <row r="28" ht="16" customHeight="1">
      <c r="B28" s="283" t="inlineStr">
        <is>
          <t xml:space="preserve">Imposto na venda dos 60%</t>
        </is>
      </c>
      <c r="C28" s="283"/>
      <c r="D28" s="298" t="inlineStr">
        <is>
          <t xml:space="preserve">CPC 15</t>
        </is>
      </c>
      <c r="E28" s="298"/>
      <c r="F28" s="298" t="inlineStr">
        <is>
          <t xml:space="preserve">CPC 19</t>
        </is>
      </c>
      <c r="G28" s="298"/>
      <c r="H28" s="299" t="inlineStr">
        <is>
          <t xml:space="preserve">Δ (CPC 19 − CPC 15)</t>
        </is>
      </c>
      <c r="I28" s="299"/>
    </row>
    <row r="29" ht="16" customHeight="1">
      <c r="B29" s="294" t="inlineStr">
        <is>
          <t xml:space="preserve">Cenário de preço</t>
        </is>
      </c>
      <c r="C29" s="295" t="inlineStr">
        <is>
          <t xml:space="preserve">Preço de venda</t>
        </is>
      </c>
      <c r="D29" s="296" t="inlineStr">
        <is>
          <t xml:space="preserve">Venda PJ</t>
        </is>
      </c>
      <c r="E29" s="297" t="inlineStr">
        <is>
          <t xml:space="preserve">Venda PF</t>
        </is>
      </c>
      <c r="F29" s="296" t="inlineStr">
        <is>
          <t xml:space="preserve">Venda PJ</t>
        </is>
      </c>
      <c r="G29" s="297" t="inlineStr">
        <is>
          <t xml:space="preserve">Venda PF</t>
        </is>
      </c>
      <c r="H29" s="299" t="inlineStr">
        <is>
          <t xml:space="preserve">Venda PJ</t>
        </is>
      </c>
      <c r="I29" s="299" t="inlineStr">
        <is>
          <t xml:space="preserve">Venda PF</t>
        </is>
      </c>
    </row>
    <row r="30" ht="16" customHeight="1">
      <c r="B30" s="286" t="inlineStr">
        <is>
          <t xml:space="preserve">Abaixo do valor justo</t>
        </is>
      </c>
      <c r="C30" s="309">
        <f>$C$20</f>
        <v>1000</v>
      </c>
      <c r="D30" s="312">
        <f>(C30-$C$13)*$C$10</f>
        <v>120.496</v>
      </c>
      <c r="E30" s="313">
        <f>(C30-$C$12)*$C$11</f>
        <v>220.95</v>
      </c>
      <c r="F30" s="312">
        <f>MAX($C$18,(C30-$C$16)*$C$10)</f>
        <v>999.804</v>
      </c>
      <c r="G30" s="313">
        <f>$C$18+MAX(0,C30-$C$19)*$C$11</f>
        <v>999.804</v>
      </c>
      <c r="H30" s="316">
        <f>F30-D30</f>
        <v>879.308</v>
      </c>
      <c r="I30" s="316">
        <f>G30-E30</f>
        <v>778.854</v>
      </c>
    </row>
    <row r="31" ht="16" customHeight="1">
      <c r="B31" s="286" t="inlineStr">
        <is>
          <t xml:space="preserve">Igual ao valor justo</t>
        </is>
      </c>
      <c r="C31" s="309">
        <f>$C$21</f>
        <v>3573</v>
      </c>
      <c r="D31" s="312">
        <f>(C31-$C$13)*$C$10</f>
        <v>995.316</v>
      </c>
      <c r="E31" s="313">
        <f>(C31-$C$12)*$C$11</f>
        <v>799.875</v>
      </c>
      <c r="F31" s="312">
        <f>MAX($C$18,(C31-$C$16)*$C$10)</f>
        <v>999.804</v>
      </c>
      <c r="G31" s="313">
        <f>$C$18+MAX(0,C31-$C$19)*$C$11</f>
        <v>999.804</v>
      </c>
      <c r="H31" s="316">
        <f>F31-D31</f>
        <v>4.48799999999994</v>
      </c>
      <c r="I31" s="316">
        <f>G31-E31</f>
        <v>199.929</v>
      </c>
    </row>
    <row r="32" ht="16" customHeight="1">
      <c r="B32" s="292" t="inlineStr">
        <is>
          <t xml:space="preserve">Acima do valor justo</t>
        </is>
      </c>
      <c r="C32" s="309">
        <f>$C$22</f>
        <v>5000</v>
      </c>
      <c r="D32" s="314">
        <f>(C32-$C$13)*$C$10</f>
        <v>1480.496</v>
      </c>
      <c r="E32" s="315">
        <f>(C32-$C$12)*$C$11</f>
        <v>1120.95</v>
      </c>
      <c r="F32" s="314">
        <f>MAX($C$18,(C32-$C$16)*$C$10)</f>
        <v>1484.984</v>
      </c>
      <c r="G32" s="315">
        <f>$C$18+MAX(0,C32-$C$19)*$C$11</f>
        <v>1320.879</v>
      </c>
      <c r="H32" s="317">
        <f>F32-D32</f>
        <v>4.48800000000006</v>
      </c>
      <c r="I32" s="317">
        <f>G32-E32</f>
        <v>199.929</v>
      </c>
    </row>
    <row r="33" ht="30" customHeight="1">
      <c r="B33" s="286" t="inlineStr">
        <is>
          <t xml:space="preserve">Fórmulas: CPC 15 PJ = (preço − custo incrementado remanescente) × 34% · CPC 15 PF = (preço − custo das quotas) × 22,5% · CPC 19 PJ = maior entre o imposto carimbado e (preço − base contábil) × 34% · CPC 19 PF = imposto carimbado na Holding + 22,5% sobre o excedente ao valor justo.</t>
        </is>
      </c>
      <c r="C33" s="286"/>
      <c r="D33" s="286"/>
      <c r="E33" s="286"/>
      <c r="F33" s="286"/>
      <c r="G33" s="286"/>
      <c r="H33" s="286"/>
      <c r="I33" s="286"/>
      <c r="J33" s="286"/>
      <c r="K33" s="286"/>
    </row>
    <row r="34" ht="49.0" customHeight="1">
      <c r="B34" s="284" t="inlineStr">
        <is>
          <t xml:space="preserve">Leitura: em preços iguais ou superiores ao valor justo, a diferença entre os regimes na venda pela Holding é pequena e corresponde a 34% da mais-valia da CNP — a única camada que o CPC 15 leva ao custo e o CPC 19 tributa. Abaixo do valor justo, o CPC 19 é substancialmente mais oneroso, porque o imposto diferido não diminui com o preço. A venda pela PF só é vantajosa no CPC 15, e apenas a partir de preços em que a alíquota menor compensa o custo menor das quotas; no CPC 19 ela não elimina o imposto carimbado, que permanece na Holding.</t>
        </is>
      </c>
      <c r="C34" s="284"/>
      <c r="D34" s="284"/>
      <c r="E34" s="284"/>
      <c r="F34" s="284"/>
      <c r="G34" s="284"/>
      <c r="H34" s="284"/>
      <c r="I34" s="284"/>
      <c r="J34" s="284"/>
      <c r="K34" s="284"/>
    </row>
    <row r="36" ht="16" customHeight="1">
      <c r="B36" s="283" t="inlineStr">
        <is>
          <t xml:space="preserve">Cenário alternativo — venda abaixo do valor justo e utilização da perda (CPC 19)</t>
        </is>
      </c>
      <c r="C36" s="283"/>
      <c r="D36" s="283"/>
      <c r="E36" s="283"/>
    </row>
    <row r="37" ht="16" customHeight="1">
      <c r="B37" s="294" t="inlineStr">
        <is>
          <t xml:space="preserve">Movimento na Holding (CPC 19)</t>
        </is>
      </c>
      <c r="C37" s="295" t="inlineStr">
        <is>
          <t xml:space="preserve">Valor</t>
        </is>
      </c>
      <c r="D37" s="294" t="inlineStr">
        <is>
          <t xml:space="preserve">Comentário</t>
        </is>
      </c>
      <c r="E37" s="294"/>
      <c r="F37" s="294"/>
      <c r="G37" s="294"/>
      <c r="H37" s="294"/>
      <c r="I37" s="294"/>
      <c r="J37" s="294"/>
      <c r="K37" s="294"/>
    </row>
    <row r="38" ht="30" customHeight="1">
      <c r="B38" s="286" t="inlineStr">
        <is>
          <t xml:space="preserve">Baixa do investimento (60% do valor justo da JO)</t>
        </is>
      </c>
      <c r="C38" s="308">
        <f>-$C$19</f>
        <v>-3573</v>
      </c>
      <c r="D38" s="286" t="inlineStr">
        <is>
          <t xml:space="preserve">Valor contábil do investimento reconhecido no CPC 19.</t>
        </is>
      </c>
      <c r="E38" s="286"/>
      <c r="F38" s="286"/>
      <c r="G38" s="286"/>
      <c r="H38" s="286"/>
      <c r="I38" s="286"/>
      <c r="J38" s="286"/>
      <c r="K38" s="286"/>
    </row>
    <row r="39" ht="15" customHeight="1">
      <c r="B39" s="286" t="inlineStr">
        <is>
          <t xml:space="preserve">Preço recebido</t>
        </is>
      </c>
      <c r="C39" s="308">
        <f>$C$20</f>
        <v>1000</v>
      </c>
      <c r="D39" s="286" t="inlineStr">
        <is>
          <t xml:space="preserve"/>
        </is>
      </c>
      <c r="E39" s="286"/>
      <c r="F39" s="286"/>
      <c r="G39" s="286"/>
      <c r="H39" s="286"/>
      <c r="I39" s="286"/>
      <c r="J39" s="286"/>
      <c r="K39" s="286"/>
    </row>
    <row r="40" ht="15" customHeight="1">
      <c r="B40" s="288" t="inlineStr">
        <is>
          <t xml:space="preserve">(=) Resultado contábil da venda</t>
        </is>
      </c>
      <c r="C40" s="309">
        <f>C38+C39</f>
        <v>-2573</v>
      </c>
      <c r="D40" s="286" t="inlineStr">
        <is>
          <t xml:space="preserve">Prejuízo contábil, porque o preço é inferior ao valor justo reconhecido.</t>
        </is>
      </c>
      <c r="E40" s="286"/>
      <c r="F40" s="286"/>
      <c r="G40" s="286"/>
      <c r="H40" s="286"/>
      <c r="I40" s="286"/>
      <c r="J40" s="286"/>
      <c r="K40" s="286"/>
    </row>
    <row r="41" ht="15" customHeight="1">
      <c r="B41" s="286" t="inlineStr">
        <is>
          <t xml:space="preserve">IR diferido 'carimbado' devido na realização</t>
        </is>
      </c>
      <c r="C41" s="308">
        <f>$C$18</f>
        <v>999.804</v>
      </c>
      <c r="D41" s="286" t="inlineStr">
        <is>
          <t xml:space="preserve">Devido integralmente: a subconta é baixada com a venda.</t>
        </is>
      </c>
      <c r="E41" s="286"/>
      <c r="F41" s="286"/>
      <c r="G41" s="286"/>
      <c r="H41" s="286"/>
      <c r="I41" s="286"/>
      <c r="J41" s="286"/>
      <c r="K41" s="286"/>
    </row>
    <row r="42" ht="30" customHeight="1">
      <c r="B42" s="286" t="inlineStr">
        <is>
          <t xml:space="preserve">Crédito teórico sobre a perda (34%)</t>
        </is>
      </c>
      <c r="C42" s="308">
        <f>C40*$C$10</f>
        <v>-874.82</v>
      </c>
      <c r="D42" s="286" t="inlineStr">
        <is>
          <t xml:space="preserve">No lucro presumido a perda não é aproveitável; no lucro real, a compensação é limitada à trava de 30% e depende de lucros futuros.</t>
        </is>
      </c>
      <c r="E42" s="286"/>
      <c r="F42" s="286"/>
      <c r="G42" s="286"/>
      <c r="H42" s="286"/>
      <c r="I42" s="286"/>
      <c r="J42" s="286"/>
      <c r="K42" s="286"/>
    </row>
    <row r="43" ht="30" customHeight="1">
      <c r="B43" s="290" t="inlineStr">
        <is>
          <t xml:space="preserve">Imposto devido (se a perda fosse integralmente aproveitada)</t>
        </is>
      </c>
      <c r="C43" s="311">
        <f>C41+C42</f>
        <v>124.984</v>
      </c>
      <c r="D43" s="293" t="inlineStr">
        <is>
          <t xml:space="preserve">Coincide com o RISCO 2 da análise hipotética (mesma base contábil); nos quadros adota-se o piso = imposto carimbado.</t>
        </is>
      </c>
      <c r="E43" s="293"/>
      <c r="F43" s="293"/>
      <c r="G43" s="293"/>
      <c r="H43" s="293"/>
      <c r="I43" s="293"/>
      <c r="J43" s="293"/>
      <c r="K43" s="293"/>
    </row>
    <row r="45" ht="16" customHeight="1">
      <c r="B45" s="283" t="inlineStr">
        <is>
          <t xml:space="preserve">Análise hipotética — risco CPC 15 (fisco não aceita camadas do custo)</t>
        </is>
      </c>
      <c r="C45" s="283"/>
      <c r="D45" s="283"/>
      <c r="E45" s="283"/>
    </row>
    <row r="46" ht="15" customHeight="1">
      <c r="B46" s="287" t="inlineStr">
        <is>
          <t xml:space="preserve">RISCO 1: o fisco não aceita nenhuma camada do reflexo — resta apenas o custo original remanescente (cenário A da aba 'Cálculos da Operação').</t>
        </is>
      </c>
      <c r="C46" s="287"/>
      <c r="D46" s="287"/>
      <c r="E46" s="287"/>
      <c r="F46" s="287"/>
      <c r="G46" s="287"/>
      <c r="H46" s="287"/>
      <c r="I46" s="287"/>
      <c r="J46" s="287"/>
      <c r="K46" s="287"/>
    </row>
    <row r="47" ht="15" customHeight="1">
      <c r="B47" s="287" t="inlineStr">
        <is>
          <t xml:space="preserve">RISCO 2: o fisco não aceita a camada da mais-valia — o custo fiscal recua para a base contábil (custo original + reflexo do PL contábil da CNP), a mesma do CPC 19.</t>
        </is>
      </c>
      <c r="C47" s="287"/>
      <c r="D47" s="287"/>
      <c r="E47" s="287"/>
      <c r="F47" s="287"/>
      <c r="G47" s="287"/>
      <c r="H47" s="287"/>
      <c r="I47" s="287"/>
      <c r="J47" s="287"/>
      <c r="K47" s="287"/>
    </row>
    <row r="49" ht="30" customHeight="1">
      <c r="B49" s="294" t="inlineStr">
        <is>
          <t xml:space="preserve">Cenário de preço</t>
        </is>
      </c>
      <c r="C49" s="295" t="inlineStr">
        <is>
          <t xml:space="preserve">Preço de venda</t>
        </is>
      </c>
      <c r="D49" s="295" t="inlineStr">
        <is>
          <t xml:space="preserve">CPC 15 — custo integral</t>
        </is>
      </c>
      <c r="E49" s="295" t="inlineStr">
        <is>
          <t xml:space="preserve">RISCO 2</t>
        </is>
      </c>
      <c r="F49" s="295" t="inlineStr">
        <is>
          <t xml:space="preserve">RISCO 1</t>
        </is>
      </c>
      <c r="G49" s="295" t="inlineStr">
        <is>
          <t xml:space="preserve">Δ RISCO 2</t>
        </is>
      </c>
      <c r="H49" s="295" t="inlineStr">
        <is>
          <t xml:space="preserve">Δ RISCO 1</t>
        </is>
      </c>
    </row>
    <row r="50" ht="16" customHeight="1">
      <c r="B50" s="289" t="inlineStr">
        <is>
          <t xml:space="preserve">Custo fiscal considerado em cada hipótese</t>
        </is>
      </c>
      <c r="C50" s="325" t="inlineStr">
        <is>
          <t xml:space="preserve">–</t>
        </is>
      </c>
      <c r="D50" s="310">
        <f>$C$13</f>
        <v>645.6</v>
      </c>
      <c r="E50" s="310">
        <f>$C$13-$C$15</f>
        <v>632.4</v>
      </c>
      <c r="F50" s="310">
        <f>$C$14</f>
        <v>176.798143851508</v>
      </c>
      <c r="G50" s="310">
        <f>D50-E50</f>
        <v>13.2</v>
      </c>
      <c r="H50" s="310">
        <f>D50-F50</f>
        <v>468.801856148492</v>
      </c>
    </row>
    <row r="51" ht="16" customHeight="1">
      <c r="B51" s="286" t="inlineStr">
        <is>
          <t xml:space="preserve">Abaixo do valor justo</t>
        </is>
      </c>
      <c r="C51" s="309">
        <f>C30</f>
        <v>1000</v>
      </c>
      <c r="D51" s="307">
        <f>(C51-$D$50)*$C$10</f>
        <v>120.496</v>
      </c>
      <c r="E51" s="307">
        <f>(C51-$E$50)*$C$10</f>
        <v>124.984</v>
      </c>
      <c r="F51" s="307">
        <f>(C51-$F$50)*$C$10</f>
        <v>279.888631090487</v>
      </c>
      <c r="G51" s="309">
        <f>E51-D51</f>
        <v>4.48800000000001</v>
      </c>
      <c r="H51" s="309">
        <f>F51-D51</f>
        <v>159.392631090487</v>
      </c>
    </row>
    <row r="52" ht="16" customHeight="1">
      <c r="B52" s="286" t="inlineStr">
        <is>
          <t xml:space="preserve">Igual ao valor justo</t>
        </is>
      </c>
      <c r="C52" s="309">
        <f>C31</f>
        <v>3573</v>
      </c>
      <c r="D52" s="307">
        <f>(C52-$D$50)*$C$10</f>
        <v>995.316</v>
      </c>
      <c r="E52" s="307">
        <f>(C52-$E$50)*$C$10</f>
        <v>999.804</v>
      </c>
      <c r="F52" s="307">
        <f>(C52-$F$50)*$C$10</f>
        <v>1154.70863109049</v>
      </c>
      <c r="G52" s="309">
        <f>E52-D52</f>
        <v>4.48799999999994</v>
      </c>
      <c r="H52" s="309">
        <f>F52-D52</f>
        <v>159.392631090487</v>
      </c>
    </row>
    <row r="53" ht="16" customHeight="1">
      <c r="B53" s="286" t="inlineStr">
        <is>
          <t xml:space="preserve">Acima do valor justo</t>
        </is>
      </c>
      <c r="C53" s="309">
        <f>C32</f>
        <v>5000</v>
      </c>
      <c r="D53" s="307">
        <f>(C53-$D$50)*$C$10</f>
        <v>1480.496</v>
      </c>
      <c r="E53" s="307">
        <f>(C53-$E$50)*$C$10</f>
        <v>1484.984</v>
      </c>
      <c r="F53" s="307">
        <f>(C53-$F$50)*$C$10</f>
        <v>1639.88863109049</v>
      </c>
      <c r="G53" s="309">
        <f>E53-D53</f>
        <v>4.48800000000006</v>
      </c>
      <c r="H53" s="309">
        <f>F53-D53</f>
        <v>159.392631090487</v>
      </c>
    </row>
    <row r="54" ht="49.0" customHeight="1">
      <c r="B54" s="284" t="inlineStr">
        <is>
          <t xml:space="preserve">Leitura: cada degrau de risco tem valor fixo, igual a 34% da camada negada, independentemente do preço. O RISCO 2 coincide com o CPC 19 nas vendas ao valor justo ou acima (mesma base contábil); abaixo do valor justo o CPC 19 continua pior, pelo piso do imposto carimbado. O RISCO 1 supera o CPC 19 em qualquer preço a partir do valor justo: se a tese de neutralidade do reflexo do PL contábil da CNP fosse integralmente afastada, o CPC 15 deixaria de ser o cenário mais favorável na venda futura — daí a importância de documentar a tese e o laudo de avaliação (PPA).</t>
        </is>
      </c>
      <c r="C54" s="284"/>
      <c r="D54" s="284"/>
      <c r="E54" s="284"/>
      <c r="F54" s="284"/>
      <c r="G54" s="284"/>
      <c r="H54" s="284"/>
      <c r="I54" s="284"/>
      <c r="J54" s="284"/>
      <c r="K54" s="284"/>
    </row>
    <row r="56" ht="18.5" customHeight="1">
      <c r="B56" s="278" t="inlineStr">
        <is>
          <t xml:space="preserve">3) Conclusão CPC 15 × CPC 19</t>
        </is>
      </c>
      <c r="C56" s="278"/>
      <c r="D56" s="278"/>
      <c r="E56" s="278"/>
      <c r="F56" s="278"/>
      <c r="G56" s="278"/>
      <c r="H56" s="278"/>
      <c r="I56" s="278"/>
      <c r="J56" s="278"/>
      <c r="K56" s="278"/>
    </row>
    <row r="58" ht="30" customHeight="1">
      <c r="B58" s="294" t="inlineStr">
        <is>
          <t xml:space="preserve">Ponto de comparação</t>
        </is>
      </c>
      <c r="C58" s="295" t="inlineStr">
        <is>
          <t xml:space="preserve">CPC 15</t>
        </is>
      </c>
      <c r="D58" s="295" t="inlineStr">
        <is>
          <t xml:space="preserve">CPC 19</t>
        </is>
      </c>
      <c r="E58" s="295" t="inlineStr">
        <is>
          <t xml:space="preserve">Δ (CPC 19 − CPC 15)</t>
        </is>
      </c>
      <c r="F58" s="296" t="inlineStr">
        <is>
          <t xml:space="preserve">Comentários</t>
        </is>
      </c>
      <c r="G58" s="296"/>
      <c r="H58" s="296"/>
      <c r="I58" s="296"/>
      <c r="J58" s="296"/>
      <c r="K58" s="296"/>
    </row>
    <row r="59" ht="30" customHeight="1">
      <c r="B59" s="286" t="inlineStr">
        <is>
          <t xml:space="preserve">Custo do investimento das Holdings após o cash-out</t>
        </is>
      </c>
      <c r="C59" s="301">
        <f>$C$13</f>
        <v>645.6</v>
      </c>
      <c r="D59" s="301">
        <f>$C$19</f>
        <v>3573</v>
      </c>
      <c r="E59" s="303">
        <f>D59-C59</f>
        <v>2927.4</v>
      </c>
      <c r="F59" s="336" t="inlineStr">
        <is>
          <t xml:space="preserve">CPC 19: o custo inclui 60% do AVJ de toda a JO; CPC 15: apenas o reflexo da CNP a valor de mercado.</t>
        </is>
      </c>
      <c r="G59" s="336"/>
      <c r="H59" s="336"/>
      <c r="I59" s="336"/>
      <c r="J59" s="336"/>
      <c r="K59" s="336"/>
    </row>
    <row r="60" ht="30" customHeight="1">
      <c r="B60" s="286" t="inlineStr">
        <is>
          <t xml:space="preserve">Parcela do custo com IR diferido (CPC 19) ou reflexo neutro (CPC 15)</t>
        </is>
      </c>
      <c r="C60" s="301">
        <f>'Cálculos da Operação'!K93</f>
        <v>468.801856148492</v>
      </c>
      <c r="D60" s="301">
        <f>$C$17</f>
        <v>2940.6</v>
      </c>
      <c r="E60" s="303">
        <f>D60-C60</f>
        <v>2471.79814385151</v>
      </c>
      <c r="F60" s="336" t="inlineStr">
        <is>
          <t xml:space="preserve">CPC 15: reflexo cuja neutralidade depende de tese; CPC 19: AVJ carimbado, sem discussão.</t>
        </is>
      </c>
      <c r="G60" s="336"/>
      <c r="H60" s="336"/>
      <c r="I60" s="336"/>
      <c r="J60" s="336"/>
      <c r="K60" s="336"/>
    </row>
    <row r="61" ht="30" customHeight="1">
      <c r="B61" s="286" t="inlineStr">
        <is>
          <t xml:space="preserve">IR potencial sobre essa parcela (34%)</t>
        </is>
      </c>
      <c r="C61" s="301">
        <f>'Cálculos da Operação'!K93*$C$10</f>
        <v>159.392631090487</v>
      </c>
      <c r="D61" s="301">
        <f>$C$18</f>
        <v>999.804</v>
      </c>
      <c r="E61" s="303">
        <f>D61-C61</f>
        <v>840.411368909513</v>
      </c>
      <c r="F61" s="336" t="inlineStr">
        <is>
          <t xml:space="preserve">CPC 15: devido só se o fisco negar o custo e prevalecer; CPC 19: devido na venda, qualquer que seja o preço.</t>
        </is>
      </c>
      <c r="G61" s="336"/>
      <c r="H61" s="336"/>
      <c r="I61" s="336"/>
      <c r="J61" s="336"/>
      <c r="K61" s="336"/>
    </row>
    <row r="62" ht="30" customHeight="1">
      <c r="B62" s="286" t="inlineStr">
        <is>
          <t xml:space="preserve">IR na venda pela Holding — preço abaixo do valor justo</t>
        </is>
      </c>
      <c r="C62" s="301">
        <f>D30</f>
        <v>120.496</v>
      </c>
      <c r="D62" s="301">
        <f>F30</f>
        <v>999.804</v>
      </c>
      <c r="E62" s="303">
        <f>D62-C62</f>
        <v>879.308</v>
      </c>
      <c r="F62" s="336" t="inlineStr">
        <is>
          <t xml:space="preserve">O piso do imposto carimbado torna o CPC 19 muito mais oneroso em vendas abaixo do valor justo.</t>
        </is>
      </c>
      <c r="G62" s="336"/>
      <c r="H62" s="336"/>
      <c r="I62" s="336"/>
      <c r="J62" s="336"/>
      <c r="K62" s="336"/>
    </row>
    <row r="63" ht="30" customHeight="1">
      <c r="B63" s="286" t="inlineStr">
        <is>
          <t xml:space="preserve">IR na venda pela Holding — preço igual ao valor justo</t>
        </is>
      </c>
      <c r="C63" s="301">
        <f>D31</f>
        <v>995.316</v>
      </c>
      <c r="D63" s="301">
        <f>F31</f>
        <v>999.804</v>
      </c>
      <c r="E63" s="303">
        <f>D63-C63</f>
        <v>4.48799999999994</v>
      </c>
      <c r="F63" s="336" t="inlineStr">
        <is>
          <t xml:space="preserve">Diferença = 34% da mais-valia da CNP: nos preços a partir do valor justo os regimes se aproximam.</t>
        </is>
      </c>
      <c r="G63" s="336"/>
      <c r="H63" s="336"/>
      <c r="I63" s="336"/>
      <c r="J63" s="336"/>
      <c r="K63" s="336"/>
    </row>
    <row r="64" ht="30" customHeight="1">
      <c r="B64" s="286" t="inlineStr">
        <is>
          <t xml:space="preserve">IR na venda pela Holding — preço acima do valor justo</t>
        </is>
      </c>
      <c r="C64" s="301">
        <f>D32</f>
        <v>1480.496</v>
      </c>
      <c r="D64" s="301">
        <f>F32</f>
        <v>1484.984</v>
      </c>
      <c r="E64" s="303">
        <f>D64-C64</f>
        <v>4.48800000000006</v>
      </c>
      <c r="F64" s="336" t="inlineStr">
        <is>
          <t xml:space="preserve">Mesma diferença fixa; o excedente ao valor justo é tributado a 34% nos dois regimes.</t>
        </is>
      </c>
      <c r="G64" s="336"/>
      <c r="H64" s="336"/>
      <c r="I64" s="336"/>
      <c r="J64" s="336"/>
      <c r="K64" s="336"/>
    </row>
    <row r="65" ht="30" customHeight="1">
      <c r="B65" s="286" t="inlineStr">
        <is>
          <t xml:space="preserve">IR na venda pelas pessoas físicas — preço igual ao valor justo</t>
        </is>
      </c>
      <c r="C65" s="301">
        <f>E31</f>
        <v>799.875</v>
      </c>
      <c r="D65" s="301">
        <f>G31</f>
        <v>999.804</v>
      </c>
      <c r="E65" s="303">
        <f>D65-C65</f>
        <v>199.929</v>
      </c>
      <c r="F65" s="336" t="inlineStr">
        <is>
          <t xml:space="preserve">Só o CPC 15 permite capturar a alíquota de 22,5%; no CPC 19 o imposto diferido fica na Holding.</t>
        </is>
      </c>
      <c r="G65" s="336"/>
      <c r="H65" s="336"/>
      <c r="I65" s="336"/>
      <c r="J65" s="336"/>
      <c r="K65" s="336"/>
    </row>
    <row r="66" ht="30" customHeight="1">
      <c r="B66" s="286" t="inlineStr">
        <is>
          <t xml:space="preserve">CPC 15 em cenário adverso (RISCO 1) × CPC 19 — preço igual ao valor justo</t>
        </is>
      </c>
      <c r="C66" s="301">
        <f>F52</f>
        <v>1154.70863109049</v>
      </c>
      <c r="D66" s="301">
        <f>F31</f>
        <v>999.804</v>
      </c>
      <c r="E66" s="303">
        <f>D66-C66</f>
        <v>-154.904631090487</v>
      </c>
      <c r="F66" s="336" t="inlineStr">
        <is>
          <t xml:space="preserve">Se a tese de neutralidade do reflexo for integralmente afastada, o CPC 15 passa a ser mais oneroso que o CPC 19.</t>
        </is>
      </c>
      <c r="G66" s="336"/>
      <c r="H66" s="336"/>
      <c r="I66" s="336"/>
      <c r="J66" s="336"/>
      <c r="K66" s="336"/>
    </row>
  </sheetData>
  <mergeCells count="45">
    <mergeCell ref="B6:K6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D22:K22"/>
    <mergeCell ref="B24:K24"/>
    <mergeCell ref="B26:K26"/>
    <mergeCell ref="D28:E28"/>
    <mergeCell ref="F28:G28"/>
    <mergeCell ref="H28:I28"/>
    <mergeCell ref="B33:K33"/>
    <mergeCell ref="B34:K34"/>
    <mergeCell ref="B36:E36"/>
    <mergeCell ref="D37:K37"/>
    <mergeCell ref="D38:K38"/>
    <mergeCell ref="D39:K39"/>
    <mergeCell ref="D40:K40"/>
    <mergeCell ref="D41:K41"/>
    <mergeCell ref="D42:K42"/>
    <mergeCell ref="D43:K43"/>
    <mergeCell ref="B45:E45"/>
    <mergeCell ref="B46:K46"/>
    <mergeCell ref="B47:K47"/>
    <mergeCell ref="B54:K54"/>
    <mergeCell ref="B56:K56"/>
    <mergeCell ref="F58:K58"/>
    <mergeCell ref="F59:K59"/>
    <mergeCell ref="F60:K60"/>
    <mergeCell ref="F61:K61"/>
    <mergeCell ref="F62:K62"/>
    <mergeCell ref="F63:K63"/>
    <mergeCell ref="F64:K64"/>
    <mergeCell ref="F65:K65"/>
    <mergeCell ref="F66:K66"/>
  </mergeCells>
  <pageMargins left="0.511811024" right="0.511811024" top="0.78740157499999996" bottom="0.78740157499999996" header="0.31496062000000002" footer="0.31496062000000002"/>
  <pageSetup paperSize="9"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CA2C-2836-4D9B-8673-71BC12F496CF}">
  <dimension ref="B2:M27"/>
  <sheetViews>
    <sheetView showGridLines="0" zoomScale="115" zoomScaleNormal="11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36.6328125" style="3" bestFit="1" customWidth="1"/>
    <col min="3" max="3" width="70.08984375" style="3" bestFit="1" customWidth="1"/>
    <col min="4" max="4" width="16" style="2" bestFit="1" customWidth="1"/>
    <col min="5" max="5" width="25.453125" style="3" bestFit="1" customWidth="1"/>
    <col min="6" max="6" width="27.36328125" style="3" bestFit="1" customWidth="1"/>
    <col min="7" max="7" width="16" style="3" customWidth="1"/>
    <col min="8" max="8" width="13.36328125" style="3" customWidth="1"/>
    <col min="9" max="9" width="27.36328125" style="3" bestFit="1" customWidth="1"/>
    <col min="10" max="10" width="15" style="3" bestFit="1" customWidth="1"/>
    <col min="11" max="11" width="17.81640625" style="3" bestFit="1" customWidth="1"/>
    <col min="12" max="13" width="26" style="3" customWidth="1"/>
    <col min="14" max="16384" width="9.08984375" style="3"/>
  </cols>
  <sheetData>
    <row r="2" spans="2:13" x14ac:dyDescent="0.35">
      <c r="C2" s="1"/>
      <c r="D2" s="4"/>
      <c r="E2" s="5"/>
      <c r="F2" s="5"/>
      <c r="G2" s="5"/>
      <c r="H2" s="5"/>
      <c r="I2" s="5"/>
      <c r="J2" s="7"/>
      <c r="K2" s="7" t="s">
        <v>57</v>
      </c>
      <c r="L2" s="7"/>
      <c r="M2" s="7"/>
    </row>
    <row r="3" spans="2:13" x14ac:dyDescent="0.35">
      <c r="B3" s="96" t="s">
        <v>0</v>
      </c>
      <c r="C3" s="97" t="s">
        <v>52</v>
      </c>
      <c r="D3" s="98"/>
      <c r="E3" s="97"/>
      <c r="F3" s="97"/>
      <c r="G3" s="99">
        <v>45627</v>
      </c>
      <c r="H3" s="5"/>
      <c r="I3" s="64" t="s">
        <v>54</v>
      </c>
      <c r="J3" s="65">
        <v>956469.60499999975</v>
      </c>
      <c r="K3" s="5" t="s">
        <v>2</v>
      </c>
      <c r="L3" s="8"/>
      <c r="M3" s="8"/>
    </row>
    <row r="4" spans="2:13" x14ac:dyDescent="0.35">
      <c r="B4" s="69" t="s">
        <v>30</v>
      </c>
      <c r="C4" s="33"/>
      <c r="D4" s="50">
        <f>SUM(D5+D11)</f>
        <v>10218399.67</v>
      </c>
      <c r="E4" s="69" t="s">
        <v>31</v>
      </c>
      <c r="F4" s="33"/>
      <c r="G4" s="50">
        <f>SUM(G5+G10+G13)</f>
        <v>10218399.669999996</v>
      </c>
      <c r="I4" s="66" t="s">
        <v>55</v>
      </c>
      <c r="J4" s="67">
        <v>956469.60499999975</v>
      </c>
      <c r="K4" s="5" t="s">
        <v>2</v>
      </c>
      <c r="L4" s="8"/>
      <c r="M4" s="8"/>
    </row>
    <row r="5" spans="2:13" x14ac:dyDescent="0.35">
      <c r="B5" s="72" t="s">
        <v>32</v>
      </c>
      <c r="C5" s="35"/>
      <c r="D5" s="53">
        <f>SUM(D6:D10)</f>
        <v>1964054.2400000002</v>
      </c>
      <c r="E5" s="70" t="s">
        <v>33</v>
      </c>
      <c r="F5" s="35"/>
      <c r="G5" s="53">
        <f>SUM(G6:G9)</f>
        <v>132218.99</v>
      </c>
      <c r="H5" s="5"/>
      <c r="I5" s="21"/>
      <c r="J5" s="22">
        <f>SUM(J3+J4)</f>
        <v>1912939.2099999995</v>
      </c>
      <c r="L5" s="8"/>
      <c r="M5" s="8"/>
    </row>
    <row r="6" spans="2:13" x14ac:dyDescent="0.35">
      <c r="B6" s="71"/>
      <c r="C6" s="35" t="s">
        <v>34</v>
      </c>
      <c r="D6" s="36">
        <v>2</v>
      </c>
      <c r="E6" s="89"/>
      <c r="F6" s="35" t="s">
        <v>37</v>
      </c>
      <c r="G6" s="36">
        <v>0</v>
      </c>
      <c r="I6" s="23" t="s">
        <v>1</v>
      </c>
      <c r="J6" s="24">
        <v>34739.57</v>
      </c>
      <c r="K6" s="5" t="s">
        <v>2</v>
      </c>
      <c r="L6" s="8"/>
      <c r="M6" s="8"/>
    </row>
    <row r="7" spans="2:13" x14ac:dyDescent="0.35">
      <c r="B7" s="71"/>
      <c r="C7" s="35" t="s">
        <v>42</v>
      </c>
      <c r="D7" s="36">
        <v>1072152.57</v>
      </c>
      <c r="E7" s="89"/>
      <c r="F7" s="35" t="s">
        <v>35</v>
      </c>
      <c r="G7" s="36">
        <v>102122.6</v>
      </c>
      <c r="J7" s="8"/>
      <c r="K7" s="38"/>
      <c r="L7" s="8"/>
      <c r="M7" s="8"/>
    </row>
    <row r="8" spans="2:13" x14ac:dyDescent="0.35">
      <c r="B8" s="71"/>
      <c r="C8" s="35" t="s">
        <v>36</v>
      </c>
      <c r="D8" s="36">
        <v>22442.37</v>
      </c>
      <c r="E8" s="89"/>
      <c r="F8" s="35" t="s">
        <v>38</v>
      </c>
      <c r="G8" s="36">
        <v>30096.39</v>
      </c>
      <c r="J8" s="8"/>
      <c r="K8" s="38"/>
      <c r="L8" s="8"/>
      <c r="M8" s="8"/>
    </row>
    <row r="9" spans="2:13" x14ac:dyDescent="0.35">
      <c r="B9" s="71"/>
      <c r="C9" s="35" t="s">
        <v>43</v>
      </c>
      <c r="D9" s="36">
        <v>326886.99</v>
      </c>
      <c r="E9" s="72"/>
      <c r="F9" s="35" t="s">
        <v>48</v>
      </c>
      <c r="G9" s="52">
        <v>0</v>
      </c>
    </row>
    <row r="10" spans="2:13" x14ac:dyDescent="0.35">
      <c r="B10" s="72"/>
      <c r="C10" s="35" t="s">
        <v>44</v>
      </c>
      <c r="D10" s="52">
        <v>542570.31000000006</v>
      </c>
      <c r="E10" s="70" t="s">
        <v>39</v>
      </c>
      <c r="F10" s="35"/>
      <c r="G10" s="53">
        <f>SUM(G11:G12)</f>
        <v>32527.279999999999</v>
      </c>
    </row>
    <row r="11" spans="2:13" x14ac:dyDescent="0.35">
      <c r="B11" s="82" t="s">
        <v>46</v>
      </c>
      <c r="C11" s="40"/>
      <c r="D11" s="84">
        <f>D13</f>
        <v>8254345.4299999997</v>
      </c>
      <c r="E11" s="71"/>
      <c r="F11" s="35" t="s">
        <v>47</v>
      </c>
      <c r="G11" s="36">
        <v>32527.279999999999</v>
      </c>
    </row>
    <row r="12" spans="2:13" x14ac:dyDescent="0.35">
      <c r="B12" s="39"/>
      <c r="C12" s="40" t="s">
        <v>40</v>
      </c>
      <c r="D12" s="41">
        <v>0</v>
      </c>
      <c r="E12" s="72"/>
      <c r="F12" s="56" t="s">
        <v>37</v>
      </c>
      <c r="G12" s="52">
        <v>0</v>
      </c>
    </row>
    <row r="13" spans="2:13" x14ac:dyDescent="0.35">
      <c r="B13" s="39"/>
      <c r="C13" s="40" t="s">
        <v>45</v>
      </c>
      <c r="D13" s="49">
        <v>8254345.4299999997</v>
      </c>
      <c r="E13" s="73" t="s">
        <v>41</v>
      </c>
      <c r="F13" s="40"/>
      <c r="G13" s="74">
        <f>SUM(G14:G17)</f>
        <v>10053653.399999997</v>
      </c>
    </row>
    <row r="14" spans="2:13" x14ac:dyDescent="0.35">
      <c r="B14" s="39"/>
      <c r="C14" s="40"/>
      <c r="D14" s="41"/>
      <c r="E14" s="40"/>
      <c r="F14" s="40" t="s">
        <v>49</v>
      </c>
      <c r="G14" s="41">
        <v>14139130</v>
      </c>
    </row>
    <row r="15" spans="2:13" x14ac:dyDescent="0.35">
      <c r="B15" s="39"/>
      <c r="C15" s="40"/>
      <c r="D15" s="41"/>
      <c r="E15" s="40"/>
      <c r="F15" s="40" t="s">
        <v>50</v>
      </c>
      <c r="G15" s="41">
        <v>4562148.38</v>
      </c>
    </row>
    <row r="16" spans="2:13" x14ac:dyDescent="0.35">
      <c r="B16" s="39"/>
      <c r="C16" s="40"/>
      <c r="D16" s="41"/>
      <c r="E16" s="40"/>
      <c r="F16" s="40" t="s">
        <v>53</v>
      </c>
      <c r="G16" s="41">
        <v>48664.65</v>
      </c>
    </row>
    <row r="17" spans="2:7" x14ac:dyDescent="0.35">
      <c r="B17" s="47"/>
      <c r="C17" s="48"/>
      <c r="D17" s="49"/>
      <c r="E17" s="48"/>
      <c r="F17" s="48" t="s">
        <v>51</v>
      </c>
      <c r="G17" s="49">
        <v>-8696289.6300000008</v>
      </c>
    </row>
    <row r="18" spans="2:7" x14ac:dyDescent="0.35">
      <c r="D18" s="44"/>
      <c r="G18" s="44"/>
    </row>
    <row r="20" spans="2:7" ht="13.5" thickBot="1" x14ac:dyDescent="0.4"/>
    <row r="21" spans="2:7" ht="26.5" thickBot="1" x14ac:dyDescent="0.4">
      <c r="B21" s="25" t="s">
        <v>3</v>
      </c>
      <c r="C21" s="26" t="s">
        <v>4</v>
      </c>
      <c r="D21" s="26" t="s">
        <v>5</v>
      </c>
      <c r="E21" s="9" t="s">
        <v>6</v>
      </c>
    </row>
    <row r="22" spans="2:7" ht="40" thickTop="1" thickBot="1" x14ac:dyDescent="0.4">
      <c r="B22" s="27" t="s">
        <v>7</v>
      </c>
      <c r="C22" s="16" t="s">
        <v>8</v>
      </c>
      <c r="D22" s="10" t="s">
        <v>9</v>
      </c>
      <c r="E22" s="11" t="s">
        <v>10</v>
      </c>
    </row>
    <row r="23" spans="2:7" ht="40" thickTop="1" thickBot="1" x14ac:dyDescent="0.4">
      <c r="B23" s="28" t="s">
        <v>11</v>
      </c>
      <c r="C23" s="12" t="s">
        <v>12</v>
      </c>
      <c r="D23" s="12" t="s">
        <v>13</v>
      </c>
      <c r="E23" s="13" t="s">
        <v>14</v>
      </c>
    </row>
    <row r="24" spans="2:7" ht="39.5" thickTop="1" x14ac:dyDescent="0.35">
      <c r="B24" s="29" t="s">
        <v>15</v>
      </c>
      <c r="C24" s="10" t="s">
        <v>16</v>
      </c>
      <c r="D24" s="10" t="s">
        <v>17</v>
      </c>
      <c r="E24" s="11" t="s">
        <v>18</v>
      </c>
    </row>
    <row r="25" spans="2:7" ht="78.5" thickBot="1" x14ac:dyDescent="0.4">
      <c r="B25" s="30" t="s">
        <v>19</v>
      </c>
      <c r="C25" s="14" t="s">
        <v>20</v>
      </c>
      <c r="D25" s="14" t="s">
        <v>21</v>
      </c>
      <c r="E25" s="15" t="s">
        <v>22</v>
      </c>
    </row>
    <row r="26" spans="2:7" ht="39.5" thickTop="1" x14ac:dyDescent="0.35">
      <c r="B26" s="31" t="s">
        <v>23</v>
      </c>
      <c r="C26" s="45" t="s">
        <v>24</v>
      </c>
      <c r="D26" s="16" t="s">
        <v>25</v>
      </c>
      <c r="E26" s="15" t="s">
        <v>26</v>
      </c>
    </row>
    <row r="27" spans="2:7" ht="39.5" thickBot="1" x14ac:dyDescent="0.4">
      <c r="B27" s="32" t="s">
        <v>27</v>
      </c>
      <c r="C27" s="46" t="s">
        <v>28</v>
      </c>
      <c r="D27" s="17" t="s">
        <v>13</v>
      </c>
      <c r="E27" s="18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62AB-6247-42E7-8174-D63DA5E29B76}">
  <dimension ref="B1:N15"/>
  <sheetViews>
    <sheetView showGridLines="0" zoomScale="115" zoomScaleNormal="11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26.453125" style="3" customWidth="1"/>
    <col min="3" max="3" width="39.453125" style="3" bestFit="1" customWidth="1"/>
    <col min="4" max="4" width="15" style="2" bestFit="1" customWidth="1"/>
    <col min="5" max="5" width="16.08984375" style="3" bestFit="1" customWidth="1"/>
    <col min="6" max="6" width="27.36328125" style="3" bestFit="1" customWidth="1"/>
    <col min="7" max="7" width="15" style="3" bestFit="1" customWidth="1"/>
    <col min="8" max="8" width="13.36328125" style="3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2:14" x14ac:dyDescent="0.35">
      <c r="I1" s="58"/>
      <c r="J1" s="58"/>
      <c r="K1" s="58"/>
    </row>
    <row r="2" spans="2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2:14" x14ac:dyDescent="0.35">
      <c r="B3" s="96" t="s">
        <v>59</v>
      </c>
      <c r="C3" s="97" t="s">
        <v>60</v>
      </c>
      <c r="D3" s="98"/>
      <c r="E3" s="97"/>
      <c r="F3" s="97"/>
      <c r="G3" s="99">
        <v>45627</v>
      </c>
      <c r="H3" s="5"/>
      <c r="I3" s="60"/>
      <c r="J3" s="60"/>
      <c r="K3" s="61"/>
      <c r="L3" s="218" t="s">
        <v>58</v>
      </c>
      <c r="M3" s="8"/>
      <c r="N3" s="8"/>
    </row>
    <row r="4" spans="2:14" x14ac:dyDescent="0.35">
      <c r="B4" s="69" t="s">
        <v>30</v>
      </c>
      <c r="C4" s="33"/>
      <c r="D4" s="50">
        <f>SUM(D5+D9)</f>
        <v>1167425.47</v>
      </c>
      <c r="E4" s="85" t="s">
        <v>31</v>
      </c>
      <c r="F4" s="33"/>
      <c r="G4" s="50">
        <f>G5+G7</f>
        <v>1167425.4700000002</v>
      </c>
      <c r="I4" s="60"/>
      <c r="J4" s="60"/>
      <c r="K4" s="61"/>
      <c r="L4" s="218"/>
      <c r="M4" s="8"/>
      <c r="N4" s="8"/>
    </row>
    <row r="5" spans="2:14" x14ac:dyDescent="0.35">
      <c r="B5" s="70" t="s">
        <v>32</v>
      </c>
      <c r="C5" s="35"/>
      <c r="D5" s="53">
        <f>SUM(D6:D8)</f>
        <v>383408.32999999996</v>
      </c>
      <c r="E5" s="68" t="s">
        <v>33</v>
      </c>
      <c r="G5" s="37">
        <f>G6</f>
        <v>17724.87</v>
      </c>
      <c r="H5" s="5"/>
      <c r="I5" s="58"/>
      <c r="J5" s="58"/>
      <c r="K5" s="62"/>
      <c r="L5" s="218"/>
      <c r="M5" s="8"/>
      <c r="N5" s="8"/>
    </row>
    <row r="6" spans="2:14" x14ac:dyDescent="0.35">
      <c r="B6" s="71"/>
      <c r="C6" s="35" t="s">
        <v>34</v>
      </c>
      <c r="D6" s="36">
        <v>1</v>
      </c>
      <c r="E6" s="1"/>
      <c r="F6" s="3" t="s">
        <v>66</v>
      </c>
      <c r="G6" s="37">
        <v>17724.87</v>
      </c>
      <c r="I6" s="60"/>
      <c r="J6" s="60"/>
      <c r="K6" s="62"/>
      <c r="L6" s="218"/>
      <c r="M6" s="8"/>
      <c r="N6" s="8"/>
    </row>
    <row r="7" spans="2:14" x14ac:dyDescent="0.35">
      <c r="B7" s="71"/>
      <c r="C7" s="35" t="s">
        <v>62</v>
      </c>
      <c r="D7" s="36">
        <v>317739.28999999998</v>
      </c>
      <c r="E7" s="86" t="s">
        <v>41</v>
      </c>
      <c r="G7" s="43">
        <f>SUM(G8:G10)</f>
        <v>1149700.6000000001</v>
      </c>
      <c r="I7" s="58"/>
      <c r="J7" s="58"/>
      <c r="K7" s="57"/>
      <c r="L7" s="218"/>
      <c r="M7" s="8"/>
      <c r="N7" s="8"/>
    </row>
    <row r="8" spans="2:14" x14ac:dyDescent="0.35">
      <c r="B8" s="71"/>
      <c r="C8" s="35" t="s">
        <v>63</v>
      </c>
      <c r="D8" s="36">
        <v>65668.039999999994</v>
      </c>
      <c r="E8" s="20"/>
      <c r="F8" s="3" t="s">
        <v>49</v>
      </c>
      <c r="G8" s="37">
        <v>1150000</v>
      </c>
      <c r="I8" s="58"/>
      <c r="J8" s="58"/>
      <c r="K8" s="62"/>
      <c r="L8" s="218"/>
    </row>
    <row r="9" spans="2:14" x14ac:dyDescent="0.35">
      <c r="B9" s="72" t="s">
        <v>64</v>
      </c>
      <c r="C9" s="35"/>
      <c r="D9" s="36">
        <f>D10</f>
        <v>784017.14</v>
      </c>
      <c r="E9" s="1"/>
      <c r="F9" s="3" t="s">
        <v>67</v>
      </c>
      <c r="G9" s="37">
        <v>-200000</v>
      </c>
      <c r="I9" s="58"/>
      <c r="J9" s="58"/>
      <c r="K9" s="62"/>
      <c r="L9" s="218"/>
    </row>
    <row r="10" spans="2:14" x14ac:dyDescent="0.35">
      <c r="B10" s="88" t="s">
        <v>69</v>
      </c>
      <c r="C10" s="56" t="s">
        <v>65</v>
      </c>
      <c r="D10" s="52">
        <v>784017.14</v>
      </c>
      <c r="E10" s="87"/>
      <c r="F10" s="42" t="s">
        <v>68</v>
      </c>
      <c r="G10" s="43">
        <v>199700.6</v>
      </c>
      <c r="I10" s="58"/>
      <c r="J10" s="58"/>
      <c r="K10" s="62"/>
      <c r="L10" s="218"/>
    </row>
    <row r="11" spans="2:14" x14ac:dyDescent="0.35">
      <c r="D11" s="44"/>
      <c r="G11" s="44"/>
      <c r="I11" s="58"/>
      <c r="J11" s="58"/>
      <c r="K11" s="62"/>
      <c r="L11" s="218"/>
    </row>
    <row r="12" spans="2:14" x14ac:dyDescent="0.35">
      <c r="D12" s="44"/>
      <c r="G12" s="44"/>
      <c r="I12" s="58"/>
      <c r="J12" s="58"/>
      <c r="K12" s="62"/>
      <c r="L12" s="5"/>
    </row>
    <row r="15" spans="2:14" x14ac:dyDescent="0.35">
      <c r="E15" s="2"/>
    </row>
  </sheetData>
  <mergeCells count="1">
    <mergeCell ref="L3:L1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2FC7-6451-4932-8256-5B62573F937A}">
  <dimension ref="A1:N16"/>
  <sheetViews>
    <sheetView showGridLines="0" zoomScaleNormal="100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58.453125" style="3" bestFit="1" customWidth="1"/>
    <col min="3" max="3" width="19.08984375" style="3" bestFit="1" customWidth="1"/>
    <col min="4" max="4" width="17" style="2" bestFit="1" customWidth="1"/>
    <col min="5" max="5" width="16.08984375" style="3" bestFit="1" customWidth="1"/>
    <col min="6" max="6" width="31.08984375" style="3" bestFit="1" customWidth="1"/>
    <col min="7" max="7" width="17" style="3" bestFit="1" customWidth="1"/>
    <col min="8" max="8" width="13.36328125" style="3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1:14" x14ac:dyDescent="0.35">
      <c r="I1" s="58"/>
      <c r="J1" s="58"/>
      <c r="K1" s="58"/>
    </row>
    <row r="2" spans="1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1:14" x14ac:dyDescent="0.35">
      <c r="B3" s="96" t="s">
        <v>80</v>
      </c>
      <c r="C3" s="97" t="s">
        <v>60</v>
      </c>
      <c r="D3" s="98"/>
      <c r="E3" s="97"/>
      <c r="F3" s="97"/>
      <c r="G3" s="99">
        <v>45627</v>
      </c>
      <c r="H3" s="219" t="s">
        <v>61</v>
      </c>
      <c r="I3" s="60"/>
      <c r="J3" s="60"/>
      <c r="K3" s="61"/>
      <c r="L3" s="218" t="s">
        <v>58</v>
      </c>
      <c r="M3" s="8"/>
      <c r="N3" s="8"/>
    </row>
    <row r="4" spans="1:14" x14ac:dyDescent="0.35">
      <c r="B4" s="69" t="s">
        <v>30</v>
      </c>
      <c r="C4" s="33"/>
      <c r="D4" s="50">
        <f>SUM(D5+D12)</f>
        <v>122371162.56999999</v>
      </c>
      <c r="E4" s="85" t="s">
        <v>31</v>
      </c>
      <c r="F4" s="33"/>
      <c r="G4" s="50">
        <f>SUM(G5+G10)</f>
        <v>122371162.57000001</v>
      </c>
      <c r="H4" s="219"/>
      <c r="I4" s="60"/>
      <c r="J4" s="60"/>
      <c r="K4" s="61"/>
      <c r="L4" s="218"/>
      <c r="M4" s="8"/>
      <c r="N4" s="8"/>
    </row>
    <row r="5" spans="1:14" x14ac:dyDescent="0.35">
      <c r="B5" s="70" t="s">
        <v>32</v>
      </c>
      <c r="C5" s="35"/>
      <c r="D5" s="53">
        <f>SUM(D6:D11)</f>
        <v>14442336.91</v>
      </c>
      <c r="E5" s="70" t="s">
        <v>33</v>
      </c>
      <c r="F5" s="35"/>
      <c r="G5" s="36">
        <f>SUM(G6:G9)</f>
        <v>21461591.919999998</v>
      </c>
      <c r="H5" s="219"/>
      <c r="I5" s="58"/>
      <c r="J5" s="58"/>
      <c r="K5" s="62"/>
      <c r="L5" s="218"/>
      <c r="M5" s="8"/>
      <c r="N5" s="8"/>
    </row>
    <row r="6" spans="1:14" x14ac:dyDescent="0.35">
      <c r="B6" s="71"/>
      <c r="C6" s="35" t="s">
        <v>70</v>
      </c>
      <c r="D6" s="36">
        <v>2437109.31</v>
      </c>
      <c r="E6" s="89"/>
      <c r="F6" s="35" t="s">
        <v>76</v>
      </c>
      <c r="G6" s="79">
        <v>2494168.9500000002</v>
      </c>
      <c r="H6" s="219"/>
      <c r="I6" s="60"/>
      <c r="J6" s="60"/>
      <c r="K6" s="62"/>
      <c r="L6" s="218"/>
      <c r="M6" s="8"/>
      <c r="N6" s="8"/>
    </row>
    <row r="7" spans="1:14" x14ac:dyDescent="0.35">
      <c r="B7" s="71"/>
      <c r="C7" s="35" t="s">
        <v>71</v>
      </c>
      <c r="D7" s="36">
        <v>7001150.1399999997</v>
      </c>
      <c r="E7" s="92"/>
      <c r="F7" s="35" t="s">
        <v>77</v>
      </c>
      <c r="G7" s="36">
        <v>558759.63</v>
      </c>
      <c r="H7" s="219"/>
      <c r="I7" s="58"/>
      <c r="J7" s="58"/>
      <c r="K7" s="57"/>
      <c r="L7" s="218"/>
      <c r="M7" s="8"/>
      <c r="N7" s="8"/>
    </row>
    <row r="8" spans="1:14" x14ac:dyDescent="0.35">
      <c r="B8" s="71"/>
      <c r="C8" s="35" t="s">
        <v>72</v>
      </c>
      <c r="D8" s="36">
        <v>1273637.1100000001</v>
      </c>
      <c r="E8" s="71"/>
      <c r="F8" s="35" t="s">
        <v>56</v>
      </c>
      <c r="G8" s="36">
        <v>17920181.5</v>
      </c>
      <c r="H8" s="219"/>
      <c r="I8" s="58"/>
      <c r="J8" s="58"/>
      <c r="K8" s="62"/>
      <c r="L8" s="218"/>
    </row>
    <row r="9" spans="1:14" x14ac:dyDescent="0.35">
      <c r="B9" s="71"/>
      <c r="C9" s="35" t="s">
        <v>73</v>
      </c>
      <c r="D9" s="36">
        <v>3718389.14</v>
      </c>
      <c r="E9" s="89"/>
      <c r="F9" s="35" t="s">
        <v>78</v>
      </c>
      <c r="G9" s="36">
        <v>488481.84</v>
      </c>
      <c r="H9" s="219"/>
      <c r="I9" s="58"/>
      <c r="J9" s="58"/>
      <c r="K9" s="62"/>
      <c r="L9" s="218"/>
    </row>
    <row r="10" spans="1:14" x14ac:dyDescent="0.35">
      <c r="B10" s="91" t="s">
        <v>69</v>
      </c>
      <c r="C10" s="35" t="s">
        <v>44</v>
      </c>
      <c r="D10" s="36">
        <v>1006.72</v>
      </c>
      <c r="E10" s="73" t="s">
        <v>41</v>
      </c>
      <c r="F10" s="40"/>
      <c r="G10" s="74">
        <f>SUM(G11:G12)</f>
        <v>100909570.65000001</v>
      </c>
      <c r="H10" s="219"/>
      <c r="I10" s="58"/>
      <c r="J10" s="58"/>
      <c r="K10" s="62"/>
      <c r="L10" s="218"/>
    </row>
    <row r="11" spans="1:14" x14ac:dyDescent="0.35">
      <c r="A11" s="54"/>
      <c r="B11" s="90"/>
      <c r="C11" s="40" t="s">
        <v>74</v>
      </c>
      <c r="D11" s="41">
        <v>11044.49</v>
      </c>
      <c r="E11" s="81"/>
      <c r="F11" s="40" t="s">
        <v>49</v>
      </c>
      <c r="G11" s="41">
        <v>86545880</v>
      </c>
      <c r="H11" s="219"/>
      <c r="I11" s="58"/>
      <c r="J11" s="58"/>
      <c r="K11" s="62"/>
      <c r="L11" s="218"/>
    </row>
    <row r="12" spans="1:14" x14ac:dyDescent="0.35">
      <c r="A12" s="54"/>
      <c r="B12" s="73" t="s">
        <v>75</v>
      </c>
      <c r="C12" s="40"/>
      <c r="D12" s="84">
        <f>SUM(D13:D14)</f>
        <v>107928825.66</v>
      </c>
      <c r="E12" s="93"/>
      <c r="F12" s="40" t="s">
        <v>79</v>
      </c>
      <c r="G12" s="55">
        <v>14363690.65</v>
      </c>
      <c r="H12" s="219"/>
    </row>
    <row r="13" spans="1:14" x14ac:dyDescent="0.35">
      <c r="A13" s="54"/>
      <c r="B13" s="39"/>
      <c r="C13" s="40" t="s">
        <v>40</v>
      </c>
      <c r="D13" s="55">
        <v>46794804.109999999</v>
      </c>
      <c r="E13" s="40"/>
      <c r="F13" s="40"/>
      <c r="G13" s="94"/>
      <c r="H13" s="219"/>
    </row>
    <row r="14" spans="1:14" x14ac:dyDescent="0.35">
      <c r="A14" s="54"/>
      <c r="B14" s="48"/>
      <c r="C14" s="48" t="s">
        <v>45</v>
      </c>
      <c r="D14" s="51">
        <v>61134021.549999997</v>
      </c>
      <c r="E14" s="47"/>
      <c r="F14" s="48"/>
      <c r="G14" s="95"/>
      <c r="H14" s="219"/>
    </row>
    <row r="15" spans="1:14" x14ac:dyDescent="0.35">
      <c r="A15" s="54"/>
    </row>
    <row r="16" spans="1:14" x14ac:dyDescent="0.35">
      <c r="A16" s="54"/>
    </row>
  </sheetData>
  <mergeCells count="2">
    <mergeCell ref="L3:L11"/>
    <mergeCell ref="H3:H1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9836-E50A-4D5E-829E-4C30D3EC4820}">
  <dimension ref="A1:N14"/>
  <sheetViews>
    <sheetView showGridLines="0" zoomScale="145" zoomScaleNormal="14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21.81640625" style="3" bestFit="1" customWidth="1"/>
    <col min="3" max="3" width="24.08984375" style="3" bestFit="1" customWidth="1"/>
    <col min="4" max="4" width="17" style="2" bestFit="1" customWidth="1"/>
    <col min="5" max="5" width="16.453125" style="3" bestFit="1" customWidth="1"/>
    <col min="6" max="6" width="27.36328125" style="3" bestFit="1" customWidth="1"/>
    <col min="7" max="7" width="17" style="3" bestFit="1" customWidth="1"/>
    <col min="8" max="8" width="20.6328125" style="3" bestFit="1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1:14" x14ac:dyDescent="0.35">
      <c r="I1" s="58"/>
      <c r="J1" s="58"/>
      <c r="K1" s="58"/>
    </row>
    <row r="2" spans="1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1:14" x14ac:dyDescent="0.35">
      <c r="B3" s="96" t="s">
        <v>94</v>
      </c>
      <c r="C3" s="97" t="s">
        <v>60</v>
      </c>
      <c r="D3" s="100"/>
      <c r="E3" s="97" t="s">
        <v>93</v>
      </c>
      <c r="F3" s="101"/>
      <c r="G3" s="99">
        <v>45627</v>
      </c>
      <c r="H3" s="5"/>
      <c r="I3" s="60"/>
      <c r="J3" s="60"/>
      <c r="K3" s="61"/>
      <c r="L3" s="218" t="s">
        <v>58</v>
      </c>
      <c r="M3" s="8"/>
      <c r="N3" s="8"/>
    </row>
    <row r="4" spans="1:14" x14ac:dyDescent="0.35">
      <c r="B4" s="69" t="s">
        <v>30</v>
      </c>
      <c r="C4" s="33"/>
      <c r="D4" s="50">
        <f>SUM(D5+D9)</f>
        <v>109379942.83999999</v>
      </c>
      <c r="E4" s="76" t="s">
        <v>31</v>
      </c>
      <c r="F4" s="77"/>
      <c r="G4" s="78">
        <f>SUM(G5+G9)</f>
        <v>109379942.83999999</v>
      </c>
      <c r="H4" s="220" t="s">
        <v>92</v>
      </c>
      <c r="I4" s="60"/>
      <c r="J4" s="60"/>
      <c r="K4" s="61"/>
      <c r="L4" s="218"/>
      <c r="M4" s="8"/>
      <c r="N4" s="8"/>
    </row>
    <row r="5" spans="1:14" x14ac:dyDescent="0.35">
      <c r="B5" s="70" t="s">
        <v>32</v>
      </c>
      <c r="C5" s="35"/>
      <c r="D5" s="53">
        <f>SUM(D6:D8)</f>
        <v>820384.91</v>
      </c>
      <c r="E5" s="70" t="s">
        <v>33</v>
      </c>
      <c r="F5" s="35"/>
      <c r="G5" s="36">
        <f>SUM(G6:G8)</f>
        <v>919578.08000000007</v>
      </c>
      <c r="H5" s="220"/>
      <c r="I5" s="58"/>
      <c r="J5" s="58"/>
      <c r="K5" s="62"/>
      <c r="L5" s="218"/>
      <c r="M5" s="8"/>
      <c r="N5" s="8"/>
    </row>
    <row r="6" spans="1:14" x14ac:dyDescent="0.35">
      <c r="B6" s="34"/>
      <c r="C6" s="35" t="s">
        <v>81</v>
      </c>
      <c r="D6" s="36">
        <v>7</v>
      </c>
      <c r="E6" s="35"/>
      <c r="F6" s="35" t="s">
        <v>86</v>
      </c>
      <c r="G6" s="79">
        <v>6731.94</v>
      </c>
      <c r="H6" s="220"/>
      <c r="I6" s="60"/>
      <c r="J6" s="60"/>
      <c r="K6" s="62"/>
      <c r="L6" s="218"/>
      <c r="M6" s="8"/>
      <c r="N6" s="8"/>
    </row>
    <row r="7" spans="1:14" x14ac:dyDescent="0.35">
      <c r="B7" s="34"/>
      <c r="C7" s="35" t="s">
        <v>82</v>
      </c>
      <c r="D7" s="36">
        <v>501276.83</v>
      </c>
      <c r="E7" s="63"/>
      <c r="F7" s="35" t="s">
        <v>87</v>
      </c>
      <c r="G7" s="36">
        <v>360471.48</v>
      </c>
      <c r="H7" s="220"/>
      <c r="I7" s="58"/>
      <c r="J7" s="58"/>
      <c r="K7" s="57"/>
      <c r="L7" s="218"/>
      <c r="M7" s="8"/>
      <c r="N7" s="8"/>
    </row>
    <row r="8" spans="1:14" x14ac:dyDescent="0.35">
      <c r="B8" s="34"/>
      <c r="C8" s="35" t="s">
        <v>84</v>
      </c>
      <c r="D8" s="36">
        <v>319101.08</v>
      </c>
      <c r="E8" s="72"/>
      <c r="F8" s="35" t="s">
        <v>88</v>
      </c>
      <c r="G8" s="52">
        <v>552374.66</v>
      </c>
      <c r="H8" s="220"/>
      <c r="I8" s="58"/>
      <c r="J8" s="58"/>
      <c r="K8" s="62"/>
      <c r="L8" s="218"/>
    </row>
    <row r="9" spans="1:14" x14ac:dyDescent="0.35">
      <c r="B9" s="73" t="s">
        <v>75</v>
      </c>
      <c r="C9" s="40"/>
      <c r="D9" s="74">
        <f>SUM(D10:D12)</f>
        <v>108559557.92999999</v>
      </c>
      <c r="E9" s="73" t="s">
        <v>41</v>
      </c>
      <c r="F9" s="40"/>
      <c r="G9" s="80">
        <f>SUM(G10:G14)</f>
        <v>108460364.75999999</v>
      </c>
      <c r="H9" s="220"/>
      <c r="I9" s="58"/>
      <c r="J9" s="58"/>
      <c r="K9" s="62"/>
      <c r="L9" s="218"/>
    </row>
    <row r="10" spans="1:14" x14ac:dyDescent="0.35">
      <c r="B10" s="75" t="s">
        <v>69</v>
      </c>
      <c r="C10" s="40" t="s">
        <v>83</v>
      </c>
      <c r="D10" s="41">
        <v>64315927.329999998</v>
      </c>
      <c r="E10" s="39"/>
      <c r="F10" s="40" t="s">
        <v>49</v>
      </c>
      <c r="G10" s="41">
        <v>79875997.739999995</v>
      </c>
      <c r="H10" s="220"/>
      <c r="I10" s="58"/>
      <c r="J10" s="58"/>
      <c r="K10" s="62"/>
      <c r="L10" s="218"/>
    </row>
    <row r="11" spans="1:14" x14ac:dyDescent="0.35">
      <c r="A11" s="54"/>
      <c r="B11" s="39"/>
      <c r="C11" s="40" t="s">
        <v>85</v>
      </c>
      <c r="D11" s="41">
        <v>21372769.940000001</v>
      </c>
      <c r="E11" s="39"/>
      <c r="F11" s="40" t="s">
        <v>67</v>
      </c>
      <c r="G11" s="41">
        <v>-2603500</v>
      </c>
      <c r="H11" s="220"/>
      <c r="I11" s="58"/>
      <c r="J11" s="58"/>
      <c r="K11" s="62"/>
      <c r="L11" s="218"/>
    </row>
    <row r="12" spans="1:14" x14ac:dyDescent="0.35">
      <c r="B12" s="40"/>
      <c r="C12" s="40" t="s">
        <v>45</v>
      </c>
      <c r="D12" s="83">
        <v>22870860.66</v>
      </c>
      <c r="E12" s="39"/>
      <c r="F12" s="40" t="s">
        <v>89</v>
      </c>
      <c r="G12" s="19">
        <v>1800035.86</v>
      </c>
      <c r="H12" s="220"/>
    </row>
    <row r="13" spans="1:14" x14ac:dyDescent="0.35">
      <c r="A13" s="54"/>
      <c r="B13" s="40"/>
      <c r="C13" s="40"/>
      <c r="D13" s="55"/>
      <c r="E13" s="40"/>
      <c r="F13" s="40" t="s">
        <v>90</v>
      </c>
      <c r="G13" s="19">
        <v>7330593.3200000003</v>
      </c>
      <c r="H13" s="220"/>
    </row>
    <row r="14" spans="1:14" x14ac:dyDescent="0.35">
      <c r="B14" s="47"/>
      <c r="C14" s="48"/>
      <c r="D14" s="51"/>
      <c r="E14" s="48"/>
      <c r="F14" s="48" t="s">
        <v>91</v>
      </c>
      <c r="G14" s="51">
        <v>22057237.84</v>
      </c>
      <c r="H14" s="220"/>
    </row>
  </sheetData>
  <mergeCells count="2">
    <mergeCell ref="L3:L11"/>
    <mergeCell ref="H4:H14"/>
  </mergeCells>
  <phoneticPr fontId="10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3:Q48"/>
  <sheetViews>
    <sheetView showGridLines="0" tabSelected="1" zoomScale="90" zoomScaleNormal="90" workbookViewId="0">
      <selection activeCell="B6" sqref="B6"/>
    </sheetView>
  </sheetViews>
  <sheetFormatPr defaultColWidth="8.90625" defaultRowHeight="14.5"/>
  <cols>
    <col min="1" max="1" width="7.54296875" customWidth="1"/>
    <col min="2" max="2" width="46.1796875" customWidth="1"/>
    <col min="3" max="3" width="21.7265625" customWidth="1"/>
    <col min="4" max="4" width="16.54296875" customWidth="1"/>
    <col min="5" max="5" width="18" customWidth="1"/>
    <col min="6" max="6" width="16.26953125" customWidth="1"/>
    <col min="7" max="7" width="11.54296875" customWidth="1"/>
    <col min="8" max="8" width="10.54296875" customWidth="1"/>
    <col min="9" max="9" width="9" customWidth="1"/>
    <col min="10" max="10" width="9" customWidth="1"/>
    <col min="11" max="11" width="9" customWidth="1"/>
  </cols>
  <sheetData>
    <row r="4" ht="26" customHeight="1">
      <c r="C4" s="277" t="inlineStr">
        <is>
          <t xml:space="preserve">Premissas e Fatos da Operação</t>
        </is>
      </c>
    </row>
    <row r="5" ht="44" customHeight="1">
      <c r="C5" s="342" t="inlineStr">
        <is>
          <t xml:space="preserve">4 de setembro de 2026</t>
        </is>
      </c>
    </row>
    <row r="6" ht="18.5" customHeight="1">
      <c r="B6" s="278" t="inlineStr">
        <is>
          <t xml:space="preserve">Fatos da operação (Acordo de Investimento, Ofício BACEN 31070/2026, calls Deloitte/SF e material SF de 31.08.2026)</t>
        </is>
      </c>
      <c r="C6" s="278"/>
      <c r="D6" s="278"/>
      <c r="E6" s="278"/>
      <c r="F6" s="278"/>
      <c r="G6" s="278"/>
      <c r="H6" s="278"/>
      <c r="I6" s="278"/>
      <c r="J6" s="278"/>
      <c r="K6" s="278"/>
    </row>
    <row r="8" ht="34.0" customHeight="1">
      <c r="B8" s="285" t="inlineStr">
        <is>
          <t xml:space="preserve">• Incorporação: a Embracon incorpora a CNP (incorporação plena, aprovada pelo BACEN); o acervo da CNP entra pelo valor de mercado apurado em laudo (PPA) e as Partes CNP recebem 13,8% do capital da Embracon (relação de troca).</t>
        </is>
      </c>
      <c r="C8" s="285"/>
      <c r="D8" s="285"/>
      <c r="E8" s="285"/>
      <c r="F8" s="285"/>
      <c r="G8" s="285"/>
      <c r="H8" s="285"/>
      <c r="I8" s="285"/>
      <c r="J8" s="285"/>
      <c r="K8" s="285"/>
    </row>
    <row r="9" ht="34.0" customHeight="1">
      <c r="B9" s="285" t="inlineStr">
        <is>
          <t xml:space="preserve">• Cash-out simultâneo: as Partes CNP adquirem das Holdings 26,2% da Embracon (13,1% de cada uma) por R$ 1.200 milhões, desconsiderando correção pelo IPCA, ajustes de caixa e eventual earn-out de até R$ 680 milhões. A secundária é entendida como concomitante à incorporação (operação única).</t>
        </is>
      </c>
      <c r="C9" s="285"/>
      <c r="D9" s="285"/>
      <c r="E9" s="285"/>
      <c r="F9" s="285"/>
      <c r="G9" s="285"/>
      <c r="H9" s="285"/>
      <c r="I9" s="285"/>
      <c r="J9" s="285"/>
      <c r="K9" s="285"/>
    </row>
    <row r="10" ht="19.0" customHeight="1">
      <c r="B10" s="285" t="inlineStr">
        <is>
          <t xml:space="preserve">• Posição final: famílias 60% (Savian 30% e JVFJ 30%) e Grupo CNP 40%.</t>
        </is>
      </c>
      <c r="C10" s="285"/>
      <c r="D10" s="285"/>
      <c r="E10" s="285"/>
      <c r="F10" s="285"/>
      <c r="G10" s="285"/>
      <c r="H10" s="285"/>
      <c r="I10" s="285"/>
      <c r="J10" s="285"/>
      <c r="K10" s="285"/>
    </row>
    <row r="11" ht="34.0" customHeight="1">
      <c r="B11" s="285" t="inlineStr">
        <is>
          <t xml:space="preserve">• Qualificação contábil em discussão: combinação de negócios (CPC 15 — leitura do contrato e da Stocche Forbes; o PL da Embracon não é reavaliado) ou operação em conjunto (CPC 19 — leitura da Deloitte a partir dos vetos qualificados da CNP; Embracon e CNP reavaliadas a valor justo, com passivo fiscal diferido).</t>
        </is>
      </c>
      <c r="C11" s="285"/>
      <c r="D11" s="285"/>
      <c r="E11" s="285"/>
      <c r="F11" s="285"/>
      <c r="G11" s="285"/>
      <c r="H11" s="285"/>
      <c r="I11" s="285"/>
      <c r="J11" s="285"/>
      <c r="K11" s="285"/>
    </row>
    <row r="12" ht="34.0" customHeight="1">
      <c r="B12" s="285" t="inlineStr">
        <is>
          <t xml:space="preserve">• Objetivo do material: ilustrar, para Savian e JVFJ, os impactos de cada qualificação sobre o custo do investimento, o imposto no cash-out e o imposto na venda futura dos 60% (pela Holding ou pelas pessoas físicas).</t>
        </is>
      </c>
      <c r="C12" s="285"/>
      <c r="D12" s="285"/>
      <c r="E12" s="285"/>
      <c r="F12" s="285"/>
      <c r="G12" s="285"/>
      <c r="H12" s="285"/>
      <c r="I12" s="285"/>
      <c r="J12" s="285"/>
      <c r="K12" s="285"/>
    </row>
    <row r="14" ht="18.5" customHeight="1">
      <c r="B14" s="278" t="inlineStr">
        <is>
          <t xml:space="preserve">Premissas numéricas — inputs do modelo (células cinza; alterações aqui propagam para todas as abas)</t>
        </is>
      </c>
      <c r="C14" s="278"/>
      <c r="D14" s="278"/>
      <c r="E14" s="278"/>
      <c r="F14" s="278"/>
      <c r="G14" s="278"/>
      <c r="H14" s="278"/>
      <c r="I14" s="278"/>
      <c r="J14" s="278"/>
      <c r="K14" s="278"/>
    </row>
    <row r="16" ht="16" customHeight="1">
      <c r="B16" s="294" t="inlineStr">
        <is>
          <t xml:space="preserve">Premissa</t>
        </is>
      </c>
      <c r="C16" s="295" t="inlineStr">
        <is>
          <t xml:space="preserve">Valor</t>
        </is>
      </c>
      <c r="D16" s="294" t="inlineStr">
        <is>
          <t xml:space="preserve">Origem / observação</t>
        </is>
      </c>
      <c r="E16" s="294"/>
      <c r="F16" s="294"/>
      <c r="G16" s="294"/>
      <c r="H16" s="294"/>
      <c r="I16" s="294"/>
      <c r="J16" s="294"/>
      <c r="K16" s="294"/>
    </row>
    <row r="17" ht="15" customHeight="1">
      <c r="B17" s="329" t="inlineStr">
        <is>
          <t xml:space="preserve">Data-base dos balanços</t>
        </is>
      </c>
      <c r="C17" s="333" t="inlineStr">
        <is>
          <t xml:space="preserve">30.06.2026</t>
        </is>
      </c>
      <c r="D17" s="286" t="inlineStr">
        <is>
          <t xml:space="preserve">Balanços esboçados pela Embracon (agosto/2026), não definitivos</t>
        </is>
      </c>
      <c r="E17" s="286"/>
      <c r="F17" s="286"/>
      <c r="G17" s="286"/>
      <c r="H17" s="286"/>
      <c r="I17" s="286"/>
      <c r="J17" s="286"/>
      <c r="K17" s="286"/>
    </row>
    <row r="18" ht="15" customHeight="1">
      <c r="B18" s="329" t="inlineStr">
        <is>
          <t xml:space="preserve">Unidade monetária</t>
        </is>
      </c>
      <c r="C18" s="333" t="inlineStr">
        <is>
          <t xml:space="preserve">R$ milhões</t>
        </is>
      </c>
    </row>
    <row r="19" ht="30" customHeight="1">
      <c r="B19" s="329" t="inlineStr">
        <is>
          <t xml:space="preserve">PL contábil da Embracon (antes da incorporação)</t>
        </is>
      </c>
      <c r="C19" s="330">
        <v>254</v>
      </c>
      <c r="D19" s="286" t="inlineStr">
        <is>
          <t xml:space="preserve">Corresponde ao custo original do investimento das Holdings (Savian + JVFJ)</t>
        </is>
      </c>
      <c r="E19" s="286"/>
      <c r="F19" s="286"/>
      <c r="G19" s="286"/>
      <c r="H19" s="286"/>
      <c r="I19" s="286"/>
      <c r="J19" s="286"/>
      <c r="K19" s="286"/>
    </row>
    <row r="20" ht="30" customHeight="1">
      <c r="B20" s="286" t="inlineStr">
        <is>
          <t xml:space="preserve">Investimento original — Savian (50% do PL da Embracon)</t>
        </is>
      </c>
      <c r="C20" s="302">
        <f>C19/2</f>
        <v>127</v>
      </c>
      <c r="D20" s="286" t="inlineStr">
        <is>
          <t xml:space="preserve">Derivado: as Holdings são simétricas no modelo (50/50); a aba 'Cálculos da Operação' dobra a coluna Savian para obter os totais</t>
        </is>
      </c>
      <c r="E20" s="286"/>
      <c r="F20" s="286"/>
      <c r="G20" s="286"/>
      <c r="H20" s="286"/>
      <c r="I20" s="286"/>
      <c r="J20" s="286"/>
      <c r="K20" s="286"/>
    </row>
    <row r="21" ht="30" customHeight="1">
      <c r="B21" s="286" t="inlineStr">
        <is>
          <t xml:space="preserve">Investimento original — JVFJ (50% do PL da Embracon)</t>
        </is>
      </c>
      <c r="C21" s="302">
        <f>C20</f>
        <v>127</v>
      </c>
      <c r="D21" s="286" t="inlineStr">
        <is>
          <t xml:space="preserve">Derivado: igual ao custo da Savian (simetria das Holdings)</t>
        </is>
      </c>
      <c r="E21" s="286"/>
      <c r="F21" s="286"/>
      <c r="G21" s="286"/>
      <c r="H21" s="286"/>
      <c r="I21" s="286"/>
      <c r="J21" s="286"/>
      <c r="K21" s="286"/>
    </row>
    <row r="22" ht="15" customHeight="1">
      <c r="B22" s="329" t="inlineStr">
        <is>
          <t xml:space="preserve">PL contábil da CNP</t>
        </is>
      </c>
      <c r="C22" s="330">
        <v>800</v>
      </c>
      <c r="D22" s="286" t="inlineStr">
        <is>
          <t xml:space="preserve">Esboço da Embracon; o material SF de 31.08 usava 839</t>
        </is>
      </c>
      <c r="E22" s="286"/>
      <c r="F22" s="286"/>
      <c r="G22" s="286"/>
      <c r="H22" s="286"/>
      <c r="I22" s="286"/>
      <c r="J22" s="286"/>
      <c r="K22" s="286"/>
    </row>
    <row r="23" ht="30" customHeight="1">
      <c r="B23" s="329" t="inlineStr">
        <is>
          <t xml:space="preserve">Valor de mercado da CNP (valor incorporado no CPC 15 — PPA)</t>
        </is>
      </c>
      <c r="C23" s="330">
        <v>822</v>
      </c>
      <c r="D23" s="286" t="inlineStr">
        <is>
          <t xml:space="preserve">≈ EV da CNP no Acordo de Investimento (R$ 821,9 mi, data-base 31.12.2024); a diferença para o PL contábil é a mais-valia</t>
        </is>
      </c>
      <c r="E23" s="286"/>
      <c r="F23" s="286"/>
      <c r="G23" s="286"/>
      <c r="H23" s="286"/>
      <c r="I23" s="286"/>
      <c r="J23" s="286"/>
      <c r="K23" s="286"/>
    </row>
    <row r="24" ht="30" customHeight="1">
      <c r="B24" s="329" t="inlineStr">
        <is>
          <t xml:space="preserve">Valor justo da Embracon (EV — Acordo de Investimento, data-base 31.12.2024)</t>
        </is>
      </c>
      <c r="C24" s="330">
        <v>5133</v>
      </c>
      <c r="D24" s="286" t="inlineStr">
        <is>
          <t xml:space="preserve">Usado apenas no cenário CPC 19 (reavaliação da Embracon); o material SF de 31.08 usava o EV total DTT de 5.588</t>
        </is>
      </c>
      <c r="E24" s="286"/>
      <c r="F24" s="286"/>
      <c r="G24" s="286"/>
      <c r="H24" s="286"/>
      <c r="I24" s="286"/>
      <c r="J24" s="286"/>
      <c r="K24" s="286"/>
    </row>
    <row r="25" ht="30" customHeight="1">
      <c r="B25" s="329" t="inlineStr">
        <is>
          <t xml:space="preserve">Participação das Partes CNP na incorporação (relação de troca)</t>
        </is>
      </c>
      <c r="C25" s="332">
        <v>0.138</v>
      </c>
      <c r="D25" s="286" t="inlineStr">
        <is>
          <t xml:space="preserve">Ações novas emitidas pela Embracon às Partes CNP</t>
        </is>
      </c>
      <c r="E25" s="286"/>
      <c r="F25" s="286"/>
      <c r="G25" s="286"/>
      <c r="H25" s="286"/>
      <c r="I25" s="286"/>
      <c r="J25" s="286"/>
      <c r="K25" s="286"/>
    </row>
    <row r="26" ht="15" customHeight="1">
      <c r="B26" s="329" t="inlineStr">
        <is>
          <t xml:space="preserve">Participação-alvo final das Partes CNP</t>
        </is>
      </c>
      <c r="C26" s="332">
        <v>0.4</v>
      </c>
      <c r="D26" s="286" t="inlineStr">
        <is>
          <t xml:space="preserve">Após o cash-out</t>
        </is>
      </c>
      <c r="E26" s="286"/>
      <c r="F26" s="286"/>
      <c r="G26" s="286"/>
      <c r="H26" s="286"/>
      <c r="I26" s="286"/>
      <c r="J26" s="286"/>
      <c r="K26" s="286"/>
    </row>
    <row r="27" ht="30" customHeight="1">
      <c r="B27" s="329" t="inlineStr">
        <is>
          <t xml:space="preserve">Preço do cash-out (compra de 26,2% das Holdings)</t>
        </is>
      </c>
      <c r="C27" s="330">
        <v>1200</v>
      </c>
      <c r="D27" s="286" t="inlineStr">
        <is>
          <t xml:space="preserve">Sem IPCA, ajustes de caixa e earn-out (até 680)</t>
        </is>
      </c>
      <c r="E27" s="286"/>
      <c r="F27" s="286"/>
      <c r="G27" s="286"/>
      <c r="H27" s="286"/>
      <c r="I27" s="286"/>
      <c r="J27" s="286"/>
      <c r="K27" s="286"/>
    </row>
    <row r="28" ht="15" customHeight="1">
      <c r="B28" s="329" t="inlineStr">
        <is>
          <t xml:space="preserve">IRPJ/CSLL — ganho de capital das Holdings</t>
        </is>
      </c>
      <c r="C28" s="332">
        <v>0.34</v>
      </c>
      <c r="D28" s="286" t="inlineStr">
        <is>
          <t xml:space="preserve">Alíquota combinada</t>
        </is>
      </c>
      <c r="E28" s="286"/>
      <c r="F28" s="286"/>
      <c r="G28" s="286"/>
      <c r="H28" s="286"/>
      <c r="I28" s="286"/>
      <c r="J28" s="286"/>
      <c r="K28" s="286"/>
    </row>
    <row r="29" ht="30" customHeight="1">
      <c r="B29" s="329" t="inlineStr">
        <is>
          <t xml:space="preserve">IR — ganho de capital das pessoas físicas (simplificada)</t>
        </is>
      </c>
      <c r="C29" s="332">
        <v>0.225</v>
      </c>
      <c r="D29" s="286" t="inlineStr">
        <is>
          <t xml:space="preserve">Adotada a alíquota máxima da tabela progressiva, por simplificação</t>
        </is>
      </c>
      <c r="E29" s="286"/>
      <c r="F29" s="286"/>
      <c r="G29" s="286"/>
      <c r="H29" s="286"/>
      <c r="I29" s="286"/>
      <c r="J29" s="286"/>
      <c r="K29" s="286"/>
    </row>
    <row r="30" ht="30" customHeight="1">
      <c r="B30" s="334" t="inlineStr">
        <is>
          <t xml:space="preserve">Custo das quotas das Holdings nas pessoas físicas</t>
        </is>
      </c>
      <c r="C30" s="335">
        <v>18</v>
      </c>
      <c r="D30" s="286" t="inlineStr">
        <is>
          <t xml:space="preserve">Premissa ilustrativa (exercício MLA), a confirmar com o custo real das quotas</t>
        </is>
      </c>
      <c r="E30" s="286"/>
      <c r="F30" s="286"/>
      <c r="G30" s="286"/>
      <c r="H30" s="286"/>
      <c r="I30" s="286"/>
      <c r="J30" s="286"/>
      <c r="K30" s="286"/>
    </row>
    <row r="31" ht="30" customHeight="1">
      <c r="B31" s="329" t="inlineStr">
        <is>
          <t xml:space="preserve">Preço de venda futura — abaixo do valor justo</t>
        </is>
      </c>
      <c r="C31" s="330">
        <v>1000</v>
      </c>
      <c r="D31" s="286" t="inlineStr">
        <is>
          <t xml:space="preserve">Cenário (i) do material SF</t>
        </is>
      </c>
      <c r="E31" s="286"/>
      <c r="F31" s="286"/>
      <c r="G31" s="286"/>
      <c r="H31" s="286"/>
      <c r="I31" s="286"/>
      <c r="J31" s="286"/>
      <c r="K31" s="286"/>
    </row>
    <row r="32" ht="30" customHeight="1">
      <c r="B32" s="286" t="inlineStr">
        <is>
          <t xml:space="preserve">Preço de venda futura — igual ao valor justo (60% do valor justo da JO)</t>
        </is>
      </c>
      <c r="C32" s="303">
        <f>'CPC 19'!D22</f>
        <v>3573</v>
      </c>
      <c r="D32" s="286" t="inlineStr">
        <is>
          <t xml:space="preserve">Cenário (ii): calculado na aba CPC 19 (quadro 2, valor justo total × 60%)</t>
        </is>
      </c>
      <c r="E32" s="286"/>
      <c r="F32" s="286"/>
      <c r="G32" s="286"/>
      <c r="H32" s="286"/>
      <c r="I32" s="286"/>
      <c r="J32" s="286"/>
      <c r="K32" s="286"/>
    </row>
    <row r="33" ht="15" customHeight="1">
      <c r="B33" s="329" t="inlineStr">
        <is>
          <t xml:space="preserve">Preço de venda futura — acima do valor justo</t>
        </is>
      </c>
      <c r="C33" s="330">
        <v>5000</v>
      </c>
      <c r="D33" s="286" t="inlineStr">
        <is>
          <t xml:space="preserve">Cenário (iii) do material SF</t>
        </is>
      </c>
      <c r="E33" s="286"/>
      <c r="F33" s="286"/>
      <c r="G33" s="286"/>
      <c r="H33" s="286"/>
      <c r="I33" s="286"/>
      <c r="J33" s="286"/>
      <c r="K33" s="286"/>
    </row>
    <row r="35" ht="16" customHeight="1">
      <c r="B35" s="283" t="inlineStr">
        <is>
          <t xml:space="preserve">Valores derivados das premissas</t>
        </is>
      </c>
      <c r="C35" s="283"/>
    </row>
    <row r="36" ht="30" customHeight="1">
      <c r="B36" s="286" t="inlineStr">
        <is>
          <t xml:space="preserve">Participação final das famílias (Savian + JVFJ)</t>
        </is>
      </c>
      <c r="C36" s="323">
        <f>1-C26</f>
        <v>0.6</v>
      </c>
    </row>
    <row r="37" ht="30" customHeight="1">
      <c r="B37" s="286" t="inlineStr">
        <is>
          <t xml:space="preserve">Mais-valia da CNP (valor de mercado − PL contábil)</t>
        </is>
      </c>
      <c r="C37" s="302">
        <f>C23-C22</f>
        <v>22</v>
      </c>
    </row>
    <row r="38" ht="30" customHeight="1">
      <c r="B38" s="286" t="inlineStr">
        <is>
          <t xml:space="preserve">Percentual vendido no cash-out (alvo CNP − relação de troca)</t>
        </is>
      </c>
      <c r="C38" s="323">
        <f>C26-C25</f>
        <v>0.262</v>
      </c>
    </row>
    <row r="39" ht="30" customHeight="1">
      <c r="B39" s="286" t="inlineStr">
        <is>
          <t xml:space="preserve">Fração do investimento de cada Holding alienada no cash-out (13,1% ÷ 43,1%)</t>
        </is>
      </c>
      <c r="C39" s="323">
        <f>'Cálculos da Operação'!D71</f>
        <v>0.303944315545244</v>
      </c>
      <c r="D39" s="286" t="inlineStr">
        <is>
          <t xml:space="preserve">Critério de alocação de custo da aba 'Cálculos da Operação'; o material SF de 31.08 alocava 26,2% do custo (13,1% por Holding)</t>
        </is>
      </c>
      <c r="E39" s="286"/>
      <c r="F39" s="286"/>
      <c r="G39" s="286"/>
      <c r="H39" s="286"/>
      <c r="I39" s="286"/>
      <c r="J39" s="286"/>
      <c r="K39" s="286"/>
    </row>
    <row r="41" ht="18.5" customHeight="1">
      <c r="B41" s="278" t="inlineStr">
        <is>
          <t xml:space="preserve">Premissas fiscais e ressalvas (material SF de 31.08.2026 e critérios adotados neste modelo)</t>
        </is>
      </c>
      <c r="C41" s="278"/>
      <c r="D41" s="278"/>
      <c r="E41" s="278"/>
      <c r="F41" s="278"/>
      <c r="G41" s="278"/>
      <c r="H41" s="278"/>
      <c r="I41" s="278"/>
      <c r="J41" s="278"/>
      <c r="K41" s="278"/>
    </row>
    <row r="43" ht="49.0" customHeight="1">
      <c r="B43" s="285" t="inlineStr">
        <is>
          <t xml:space="preserve">• Custo alocado no cash-out (critério deste modelo, herdado da aba 'Cálculos da Operação'; o material SF de 31.08 alocava 26,2% do custo, 13,1% de cada Holding): a secundária é tratada como concomitante à incorporação e o custo de cada Holding é alocado proporcionalmente à fração alienada (13,1% ÷ 43,1%). O imposto do cash-out é apurado na aba 'Cálculos da Operação' nos cenários A (custo original) e B (custo incrementado).</t>
        </is>
      </c>
      <c r="C43" s="285"/>
      <c r="D43" s="285"/>
      <c r="E43" s="285"/>
      <c r="F43" s="285"/>
      <c r="G43" s="285"/>
      <c r="H43" s="285"/>
      <c r="I43" s="285"/>
      <c r="J43" s="285"/>
      <c r="K43" s="285"/>
    </row>
    <row r="44" ht="34.0" customHeight="1">
      <c r="B44" s="285" t="inlineStr">
        <is>
          <t xml:space="preserve">• Regime das Holdings: lucro presumido — premissa relevante para a tributação do cash-out. Na futura alienação dos 60% remanescentes, a carga poderá ser reduzida se, à época, as Holdings estiverem no lucro real e dispuserem de prejuízos fiscais e bases negativas de CSLL compensáveis, observadas as limitações aplicáveis.</t>
        </is>
      </c>
      <c r="C44" s="285"/>
      <c r="D44" s="285"/>
      <c r="E44" s="285"/>
      <c r="F44" s="285"/>
      <c r="G44" s="285"/>
      <c r="H44" s="285"/>
      <c r="I44" s="285"/>
      <c r="J44" s="285"/>
      <c r="K44" s="285"/>
    </row>
    <row r="45" ht="49.0" customHeight="1">
      <c r="B45" s="285" t="inlineStr">
        <is>
          <t xml:space="preserve">• Segregação de risco no CPC 15: o custo das Holdings é aberto em custo original (incontroverso), reflexo do PL contábil da CNP (neutralidade do MEP — art. 33, §2º, do DL 1.598/77; precedente WTorre, com decisões CARF de 2024 em sentido contrário — fundamentos discutidos nas calls com a SF) e reflexo da mais-valia (parcela mais exposta). No material de 31.08 a mais-valia era estimada em 34,6% do PL da CNP (proporção DTT 300/866); aqui é o valor de mercado menos o PL contábil.</t>
        </is>
      </c>
      <c r="C45" s="285"/>
      <c r="D45" s="285"/>
      <c r="E45" s="285"/>
      <c r="F45" s="285"/>
      <c r="G45" s="285"/>
      <c r="H45" s="285"/>
      <c r="I45" s="285"/>
      <c r="J45" s="285"/>
      <c r="K45" s="285"/>
    </row>
    <row r="46" ht="34.0" customHeight="1">
      <c r="B46" s="285" t="inlineStr">
        <is>
          <t xml:space="preserve">• CPC 19: o ganho de avaliação a valor justo (AVJ) tem tributação diferida, controlado em subconta (arts. 13 e 14 da Lei 12.973/14), fica 'carimbado' a 34% e é devido na realização do investimento, independentemente da entidade que aliene a participação.</t>
        </is>
      </c>
      <c r="C46" s="285"/>
      <c r="D46" s="285"/>
      <c r="E46" s="285"/>
      <c r="F46" s="285"/>
      <c r="G46" s="285"/>
      <c r="H46" s="285"/>
      <c r="I46" s="285"/>
      <c r="J46" s="285"/>
      <c r="K46" s="285"/>
    </row>
    <row r="47" ht="34.0" customHeight="1">
      <c r="B47" s="285" t="inlineStr">
        <is>
          <t xml:space="preserve">• ITCMD: não analisado neste material. Em caráter preliminar, o cenário de operação em conjunto pode elevar o valor patrimonial das Holdings (reconhecimento a valor justo da CNP e da Embracon), com possível repercussão na base do imposto, a depender do critério legal aplicável.</t>
        </is>
      </c>
      <c r="C47" s="285"/>
      <c r="D47" s="285"/>
      <c r="E47" s="285"/>
      <c r="F47" s="285"/>
      <c r="G47" s="285"/>
      <c r="H47" s="285"/>
      <c r="I47" s="285"/>
      <c r="J47" s="285"/>
      <c r="K47" s="285"/>
    </row>
    <row r="48" ht="34.0" customHeight="1">
      <c r="B48" s="285" t="inlineStr">
        <is>
          <t xml:space="preserve">• Caráter ilustrativo: os exemplos foram elaborados com informações estimadas, de diversas fontes, não auditadas; não substituem a análise dos documentos definitivos da Transação e da contabilização efetivamente adotada, nem devem ser entendidos como estimativa de custo ou contingência tributária.</t>
        </is>
      </c>
      <c r="C48" s="285"/>
      <c r="D48" s="285"/>
      <c r="E48" s="285"/>
      <c r="F48" s="285"/>
      <c r="G48" s="285"/>
      <c r="H48" s="285"/>
      <c r="I48" s="285"/>
      <c r="J48" s="285"/>
      <c r="K48" s="285"/>
    </row>
  </sheetData>
  <mergeCells count="33">
    <mergeCell ref="B6:K6"/>
    <mergeCell ref="B8:K8"/>
    <mergeCell ref="B9:K9"/>
    <mergeCell ref="B10:K10"/>
    <mergeCell ref="B11:K11"/>
    <mergeCell ref="B12:K12"/>
    <mergeCell ref="B14:K14"/>
    <mergeCell ref="D16:K16"/>
    <mergeCell ref="D17:K17"/>
    <mergeCell ref="D19:K19"/>
    <mergeCell ref="D20:K20"/>
    <mergeCell ref="D21:K21"/>
    <mergeCell ref="D22:K22"/>
    <mergeCell ref="D23:K23"/>
    <mergeCell ref="D24:K24"/>
    <mergeCell ref="D25:K25"/>
    <mergeCell ref="D26:K26"/>
    <mergeCell ref="D27:K27"/>
    <mergeCell ref="D28:K28"/>
    <mergeCell ref="D29:K29"/>
    <mergeCell ref="D30:K30"/>
    <mergeCell ref="D31:K31"/>
    <mergeCell ref="D32:K32"/>
    <mergeCell ref="D33:K33"/>
    <mergeCell ref="B35:C35"/>
    <mergeCell ref="D39:K39"/>
    <mergeCell ref="B41:K41"/>
    <mergeCell ref="B43:K43"/>
    <mergeCell ref="B44:K44"/>
    <mergeCell ref="B45:K45"/>
    <mergeCell ref="B46:K46"/>
    <mergeCell ref="B47:K47"/>
    <mergeCell ref="B48:K48"/>
  </mergeCells>
  <pageMargins left="0.511811024" right="0.511811024" top="0.78740157499999996" bottom="0.78740157499999996" header="0.31496062000000002" footer="0.31496062000000002"/>
  <pageSetup paperSize="9" orientation="landscape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3:Q43"/>
  <sheetViews>
    <sheetView showGridLines="0" zoomScale="90" zoomScaleNormal="90" workbookViewId="0">
      <selection activeCell="B6" sqref="B6"/>
    </sheetView>
  </sheetViews>
  <sheetFormatPr defaultColWidth="8.90625" defaultRowHeight="14.5"/>
  <cols>
    <col min="1" max="1" width="7.54296875" customWidth="1"/>
    <col min="2" max="2" width="46.1796875" customWidth="1"/>
    <col min="3" max="3" width="21.7265625" customWidth="1"/>
    <col min="4" max="4" width="16.54296875" customWidth="1"/>
    <col min="5" max="5" width="18" customWidth="1"/>
    <col min="6" max="6" width="16.26953125" customWidth="1"/>
    <col min="7" max="7" width="11.54296875" customWidth="1"/>
    <col min="8" max="8" width="10.54296875" customWidth="1"/>
    <col min="9" max="9" width="9" customWidth="1"/>
    <col min="10" max="10" width="9" customWidth="1"/>
    <col min="11" max="11" width="9" customWidth="1"/>
  </cols>
  <sheetData>
    <row r="4" ht="26" customHeight="1">
      <c r="C4" s="277" t="inlineStr">
        <is>
          <t xml:space="preserve">CPC 19 — Joint Operation</t>
        </is>
      </c>
    </row>
    <row r="5" ht="44" customHeight="1">
      <c r="C5" s="342" t="inlineStr">
        <is>
          <t xml:space="preserve">4 de setembro de 2026</t>
        </is>
      </c>
    </row>
    <row r="6" ht="18.5" customHeight="1">
      <c r="B6" s="278" t="inlineStr">
        <is>
          <t xml:space="preserve">CPC 19 — Joint Operation: reconhecimento de 60% do valor justo da JO e imposto diferido 'carimbado'</t>
        </is>
      </c>
      <c r="C6" s="278"/>
      <c r="D6" s="278"/>
      <c r="E6" s="278"/>
      <c r="F6" s="278"/>
      <c r="G6" s="278"/>
      <c r="H6" s="278"/>
      <c r="I6" s="278"/>
      <c r="J6" s="278"/>
      <c r="K6" s="278"/>
    </row>
    <row r="8" ht="79.0" customHeight="1">
      <c r="B8" s="284" t="inlineStr">
        <is>
          <t xml:space="preserve">Na operação em conjunto (CPC 19), leitura sustentada pela Deloitte a partir dos vetos qualificados da CNP, as Holdings deixam de avaliar o investimento pelo método de equivalência patrimonial e passam a reconhecer diretamente a sua parcela (60%) dos ativos e passivos da JO — Embracon e CNP — a valor justo. Isso inclui o valor justo da própria Embracon, que no CPC 15 não é reavaliada. O ganho de avaliação a valor justo (AVJ) não é tributado no reconhecimento, desde que controlado em subconta (arts. 13 e 14 da Lei 12.973/14), mas fica 'carimbado': o IRPJ/CSLL de 34% sobre o AVJ é devido quando o investimento for realizado (venda), qualquer que seja o preço e independentemente de quem venda. As premissas (valor justo da Embracon pelo EV do Acordo de Investimento e valor de mercado da CNP) vêm da aba 'Premissas'.</t>
        </is>
      </c>
      <c r="C8" s="284"/>
      <c r="D8" s="284"/>
      <c r="E8" s="284"/>
      <c r="F8" s="284"/>
      <c r="G8" s="284"/>
      <c r="H8" s="284"/>
      <c r="I8" s="284"/>
      <c r="J8" s="284"/>
      <c r="K8" s="284"/>
    </row>
    <row r="10" ht="16" customHeight="1">
      <c r="B10" s="282" t="inlineStr">
        <is>
          <t xml:space="preserve">1) Avaliação a valor justo da JO (100%)</t>
        </is>
      </c>
      <c r="C10" s="282"/>
    </row>
    <row r="11" ht="16" customHeight="1">
      <c r="B11" s="294" t="inlineStr">
        <is>
          <t xml:space="preserve">Componente</t>
        </is>
      </c>
      <c r="C11" s="295" t="inlineStr">
        <is>
          <t xml:space="preserve">Valor</t>
        </is>
      </c>
      <c r="D11" s="294" t="inlineStr">
        <is>
          <t xml:space="preserve">Origem / leitura</t>
        </is>
      </c>
      <c r="E11" s="294"/>
      <c r="F11" s="294"/>
      <c r="G11" s="294"/>
      <c r="H11" s="294"/>
      <c r="I11" s="294"/>
      <c r="J11" s="294"/>
      <c r="K11" s="294"/>
    </row>
    <row r="12" ht="30" customHeight="1">
      <c r="B12" s="286" t="inlineStr">
        <is>
          <t xml:space="preserve">Valor justo da Embracon (EV — Acordo de Investimento)</t>
        </is>
      </c>
      <c r="C12" s="302">
        <f>Premissas!C24</f>
        <v>5133</v>
      </c>
      <c r="D12" s="286" t="inlineStr">
        <is>
          <t xml:space="preserve">Aba Premissas. No CPC 15 a Embracon não é reavaliada; no CPC 19 entra integralmente a valor justo.</t>
        </is>
      </c>
      <c r="E12" s="286"/>
      <c r="F12" s="286"/>
      <c r="G12" s="286"/>
      <c r="H12" s="286"/>
      <c r="I12" s="286"/>
      <c r="J12" s="286"/>
      <c r="K12" s="286"/>
    </row>
    <row r="13" ht="15" customHeight="1">
      <c r="B13" s="286" t="inlineStr">
        <is>
          <t xml:space="preserve">Valor justo da CNP (= valor de mercado incorporado)</t>
        </is>
      </c>
      <c r="C13" s="302">
        <f>Premissas!C23</f>
        <v>822</v>
      </c>
      <c r="D13" s="286" t="inlineStr">
        <is>
          <t xml:space="preserve">Aba Premissas; mesmo valor incorporado no CPC 15.</t>
        </is>
      </c>
      <c r="E13" s="286"/>
      <c r="F13" s="286"/>
      <c r="G13" s="286"/>
      <c r="H13" s="286"/>
      <c r="I13" s="286"/>
      <c r="J13" s="286"/>
      <c r="K13" s="286"/>
    </row>
    <row r="14" ht="15" customHeight="1">
      <c r="B14" s="290" t="inlineStr">
        <is>
          <t xml:space="preserve">(=) Valor justo total da JO</t>
        </is>
      </c>
      <c r="C14" s="305">
        <f>C12+C13</f>
        <v>5955</v>
      </c>
      <c r="D14" s="293" t="inlineStr">
        <is>
          <t xml:space="preserve">Embracon + CNP a valor justo.</t>
        </is>
      </c>
      <c r="E14" s="293"/>
      <c r="F14" s="293"/>
      <c r="G14" s="293"/>
      <c r="H14" s="293"/>
      <c r="I14" s="293"/>
      <c r="J14" s="293"/>
      <c r="K14" s="293"/>
    </row>
    <row r="15" ht="15" customHeight="1">
      <c r="B15" s="286" t="inlineStr">
        <is>
          <t xml:space="preserve">(−) Base contábil (PL da Embracon + PL contábil da CNP)</t>
        </is>
      </c>
      <c r="C15" s="302">
        <f>Premissas!C19+Premissas!C22</f>
        <v>1054</v>
      </c>
      <c r="D15" s="286" t="inlineStr">
        <is>
          <t xml:space="preserve">Patrimônio a valor contábil das duas companhias.</t>
        </is>
      </c>
      <c r="E15" s="286"/>
      <c r="F15" s="286"/>
      <c r="G15" s="286"/>
      <c r="H15" s="286"/>
      <c r="I15" s="286"/>
      <c r="J15" s="286"/>
      <c r="K15" s="286"/>
    </row>
    <row r="16" ht="15" customHeight="1">
      <c r="B16" s="288" t="inlineStr">
        <is>
          <t xml:space="preserve">(=) Ganho de AVJ total da JO</t>
        </is>
      </c>
      <c r="C16" s="303">
        <f>C14-C15</f>
        <v>4901</v>
      </c>
      <c r="D16" s="286" t="inlineStr">
        <is>
          <t xml:space="preserve">Diferença entre valor justo e base contábil; tributação diferida (subconta).</t>
        </is>
      </c>
      <c r="E16" s="286"/>
      <c r="F16" s="286"/>
      <c r="G16" s="286"/>
      <c r="H16" s="286"/>
      <c r="I16" s="286"/>
      <c r="J16" s="286"/>
      <c r="K16" s="286"/>
    </row>
    <row r="18" ht="16" customHeight="1">
      <c r="B18" s="282" t="inlineStr">
        <is>
          <t xml:space="preserve">2) Investimento das Holdings na JO (60% — após o cash-out)</t>
        </is>
      </c>
      <c r="C18" s="282"/>
      <c r="D18" s="282"/>
    </row>
    <row r="19" ht="16" customHeight="1">
      <c r="B19" s="294" t="inlineStr">
        <is>
          <t xml:space="preserve">Componente</t>
        </is>
      </c>
      <c r="C19" s="295" t="inlineStr">
        <is>
          <t xml:space="preserve">100% da JO</t>
        </is>
      </c>
      <c r="D19" s="295" t="inlineStr">
        <is>
          <t xml:space="preserve">60% (Holdings)</t>
        </is>
      </c>
      <c r="E19" s="294" t="inlineStr">
        <is>
          <t xml:space="preserve">Leitura</t>
        </is>
      </c>
      <c r="F19" s="294"/>
      <c r="G19" s="294"/>
      <c r="H19" s="294"/>
      <c r="I19" s="294"/>
      <c r="J19" s="294"/>
      <c r="K19" s="294"/>
    </row>
    <row r="20" ht="15" customHeight="1">
      <c r="B20" s="286" t="inlineStr">
        <is>
          <t xml:space="preserve">Valor justo da Embracon</t>
        </is>
      </c>
      <c r="C20" s="302">
        <f>C12</f>
        <v>5133</v>
      </c>
      <c r="D20" s="302">
        <f>C20*Premissas!C36</f>
        <v>3079.8</v>
      </c>
      <c r="E20" s="286" t="inlineStr">
        <is>
          <t xml:space="preserve">Parcela que não existe no CPC 15: a Embracon passa a ser reavaliada.</t>
        </is>
      </c>
      <c r="F20" s="286"/>
      <c r="G20" s="286"/>
      <c r="H20" s="286"/>
      <c r="I20" s="286"/>
      <c r="J20" s="286"/>
      <c r="K20" s="286"/>
    </row>
    <row r="21" ht="15" customHeight="1">
      <c r="B21" s="286" t="inlineStr">
        <is>
          <t xml:space="preserve">Valor justo da CNP</t>
        </is>
      </c>
      <c r="C21" s="302">
        <f>C13</f>
        <v>822</v>
      </c>
      <c r="D21" s="302">
        <f>C21*Premissas!C36</f>
        <v>493.2</v>
      </c>
      <c r="E21" s="286" t="inlineStr">
        <is>
          <t xml:space="preserve">Mesmo valor incorporado no CPC 15.</t>
        </is>
      </c>
      <c r="F21" s="286"/>
      <c r="G21" s="286"/>
      <c r="H21" s="286"/>
      <c r="I21" s="286"/>
      <c r="J21" s="286"/>
      <c r="K21" s="286"/>
    </row>
    <row r="22" ht="30" customHeight="1">
      <c r="B22" s="290" t="inlineStr">
        <is>
          <t xml:space="preserve">(=) Valor justo total — custo do investimento das Holdings no CPC 19</t>
        </is>
      </c>
      <c r="C22" s="305">
        <f>C20+C21</f>
        <v>5955</v>
      </c>
      <c r="D22" s="305">
        <f>D20+D21</f>
        <v>3573</v>
      </c>
      <c r="E22" s="293" t="inlineStr">
        <is>
          <t xml:space="preserve">Investimento reconhecido pelas Holdings: 60% do valor justo de Embracon + CNP.</t>
        </is>
      </c>
      <c r="F22" s="293"/>
      <c r="G22" s="293"/>
      <c r="H22" s="293"/>
      <c r="I22" s="293"/>
      <c r="J22" s="293"/>
      <c r="K22" s="293"/>
    </row>
    <row r="23" ht="30" customHeight="1">
      <c r="B23" s="286" t="inlineStr">
        <is>
          <t xml:space="preserve">(−) Base contábil (PL da Embracon + PL contábil da CNP)</t>
        </is>
      </c>
      <c r="C23" s="302">
        <f>C15</f>
        <v>1054</v>
      </c>
      <c r="D23" s="302">
        <f>C23*Premissas!C36</f>
        <v>632.4</v>
      </c>
      <c r="E23" s="286" t="inlineStr">
        <is>
          <t xml:space="preserve">Coincide com o custo do CPC 15 sem a camada da mais-valia (custo original + reflexo do PL contábil da CNP).</t>
        </is>
      </c>
      <c r="F23" s="286"/>
      <c r="G23" s="286"/>
      <c r="H23" s="286"/>
      <c r="I23" s="286"/>
      <c r="J23" s="286"/>
      <c r="K23" s="286"/>
    </row>
    <row r="24" ht="30" customHeight="1">
      <c r="B24" s="288" t="inlineStr">
        <is>
          <t xml:space="preserve">(=) Ganho de AVJ com tributação diferida (subconta — arts. 13 e 14, Lei 12.973/14)</t>
        </is>
      </c>
      <c r="C24" s="303">
        <f>C22-C23</f>
        <v>4901</v>
      </c>
      <c r="D24" s="303">
        <f>D22-D23</f>
        <v>2940.6</v>
      </c>
      <c r="E24" s="286" t="inlineStr">
        <is>
          <t xml:space="preserve">Ganho reconhecido no resultado das Holdings e neutralizado fiscalmente apenas enquanto controlado em subconta.</t>
        </is>
      </c>
      <c r="F24" s="286"/>
      <c r="G24" s="286"/>
      <c r="H24" s="286"/>
      <c r="I24" s="286"/>
      <c r="J24" s="286"/>
      <c r="K24" s="286"/>
    </row>
    <row r="25" ht="30" customHeight="1">
      <c r="B25" s="289" t="inlineStr">
        <is>
          <t xml:space="preserve">Passivo fiscal diferido 'carimbado' (34% × AVJ)</t>
        </is>
      </c>
      <c r="C25" s="306">
        <f>C24*Premissas!C28</f>
        <v>1666.34</v>
      </c>
      <c r="D25" s="306">
        <f>D24*Premissas!C28</f>
        <v>999.804</v>
      </c>
      <c r="E25" s="286" t="inlineStr">
        <is>
          <t xml:space="preserve">Devido na realização do investimento (venda), independentemente do preço; é o piso de imposto do CPC 19 na venda futura.</t>
        </is>
      </c>
      <c r="F25" s="286"/>
      <c r="G25" s="286"/>
      <c r="H25" s="286"/>
      <c r="I25" s="286"/>
      <c r="J25" s="286"/>
      <c r="K25" s="286"/>
    </row>
    <row r="26" ht="30" customHeight="1">
      <c r="B26" s="291" t="inlineStr">
        <is>
          <t xml:space="preserve">Custo do investimento das Holdings — CPC 19 (60% do valor justo)</t>
        </is>
      </c>
      <c r="C26" s="305">
        <f>C22</f>
        <v>5955</v>
      </c>
      <c r="D26" s="305">
        <f>D22</f>
        <v>3573</v>
      </c>
      <c r="E26" s="293" t="inlineStr">
        <is>
          <t xml:space="preserve">Valor levado às abas 'Alienação Futura' e 'Conclusão'.</t>
        </is>
      </c>
      <c r="F26" s="293"/>
      <c r="G26" s="293"/>
      <c r="H26" s="293"/>
      <c r="I26" s="293"/>
      <c r="J26" s="293"/>
      <c r="K26" s="293"/>
    </row>
    <row r="28" ht="16" customHeight="1">
      <c r="B28" s="282" t="inlineStr">
        <is>
          <t xml:space="preserve">3) Lançamentos contábeis nas Holdings — CPC 19 (60%)</t>
        </is>
      </c>
      <c r="C28" s="282"/>
      <c r="D28" s="282"/>
    </row>
    <row r="29" ht="16" customHeight="1">
      <c r="B29" s="294" t="inlineStr">
        <is>
          <t xml:space="preserve">Lançamento</t>
        </is>
      </c>
      <c r="C29" s="295" t="inlineStr">
        <is>
          <t xml:space="preserve">Débito</t>
        </is>
      </c>
      <c r="D29" s="295" t="inlineStr">
        <is>
          <t xml:space="preserve">Crédito</t>
        </is>
      </c>
      <c r="E29" s="294" t="inlineStr">
        <is>
          <t xml:space="preserve">Comentário</t>
        </is>
      </c>
      <c r="F29" s="294"/>
      <c r="G29" s="294"/>
      <c r="H29" s="294"/>
      <c r="I29" s="294"/>
      <c r="J29" s="294"/>
      <c r="K29" s="294"/>
    </row>
    <row r="30" ht="30" customHeight="1">
      <c r="B30" s="286" t="inlineStr">
        <is>
          <t xml:space="preserve">Investimento na JO (60% do valor justo de Embracon + CNP)</t>
        </is>
      </c>
      <c r="C30" s="302">
        <f>D22</f>
        <v>3573</v>
      </c>
      <c r="D30" s="325" t="inlineStr">
        <is>
          <t xml:space="preserve">–</t>
        </is>
      </c>
      <c r="E30" s="286" t="inlineStr">
        <is>
          <t xml:space="preserve">Reconhecimento direto da parcela das Holdings nos ativos e passivos da JO.</t>
        </is>
      </c>
      <c r="F30" s="286"/>
      <c r="G30" s="286"/>
      <c r="H30" s="286"/>
      <c r="I30" s="286"/>
      <c r="J30" s="286"/>
      <c r="K30" s="286"/>
    </row>
    <row r="31" ht="30" customHeight="1">
      <c r="B31" s="286" t="inlineStr">
        <is>
          <t xml:space="preserve">Investimento em Embracon avaliado pelo MEP (base contábil, 60%)</t>
        </is>
      </c>
      <c r="C31" s="325" t="inlineStr">
        <is>
          <t xml:space="preserve">–</t>
        </is>
      </c>
      <c r="D31" s="302">
        <f>D23</f>
        <v>632.4</v>
      </c>
      <c r="E31" s="286" t="inlineStr">
        <is>
          <t xml:space="preserve">Baixa do investimento a valor contábil (custo original + reflexo do PL contábil da CNP).</t>
        </is>
      </c>
      <c r="F31" s="286"/>
      <c r="G31" s="286"/>
      <c r="H31" s="286"/>
      <c r="I31" s="286"/>
      <c r="J31" s="286"/>
      <c r="K31" s="286"/>
    </row>
    <row r="32" ht="30" customHeight="1">
      <c r="B32" s="286" t="inlineStr">
        <is>
          <t xml:space="preserve">Ganho de avaliação a valor justo — resultado (controlado em subconta)</t>
        </is>
      </c>
      <c r="C32" s="325" t="inlineStr">
        <is>
          <t xml:space="preserve">–</t>
        </is>
      </c>
      <c r="D32" s="302">
        <f>D24</f>
        <v>2940.6</v>
      </c>
      <c r="E32" s="286" t="inlineStr">
        <is>
          <t xml:space="preserve">Neutralizado fiscalmente enquanto em subconta (arts. 13 e 14 da Lei 12.973/14).</t>
        </is>
      </c>
      <c r="F32" s="286"/>
      <c r="G32" s="286"/>
      <c r="H32" s="286"/>
      <c r="I32" s="286"/>
      <c r="J32" s="286"/>
      <c r="K32" s="286"/>
    </row>
    <row r="33" ht="15" customHeight="1">
      <c r="B33" s="286" t="inlineStr">
        <is>
          <t xml:space="preserve">Despesa de IRPJ/CSLL diferidos — resultado</t>
        </is>
      </c>
      <c r="C33" s="302">
        <f>D25</f>
        <v>999.804</v>
      </c>
      <c r="D33" s="325" t="inlineStr">
        <is>
          <t xml:space="preserve">–</t>
        </is>
      </c>
      <c r="E33" s="286" t="inlineStr">
        <is>
          <t xml:space="preserve">Reconhecimento do imposto sobre o AVJ.</t>
        </is>
      </c>
      <c r="F33" s="286"/>
      <c r="G33" s="286"/>
      <c r="H33" s="286"/>
      <c r="I33" s="286"/>
      <c r="J33" s="286"/>
      <c r="K33" s="286"/>
    </row>
    <row r="34" ht="30" customHeight="1">
      <c r="B34" s="286" t="inlineStr">
        <is>
          <t xml:space="preserve">Passivo fiscal diferido (34% × AVJ, 'carimbado')</t>
        </is>
      </c>
      <c r="C34" s="325" t="inlineStr">
        <is>
          <t xml:space="preserve">–</t>
        </is>
      </c>
      <c r="D34" s="302">
        <f>D25</f>
        <v>999.804</v>
      </c>
      <c r="E34" s="286" t="inlineStr">
        <is>
          <t xml:space="preserve">Realizado (pago) na venda do investimento, qualquer que seja o preço.</t>
        </is>
      </c>
      <c r="F34" s="286"/>
      <c r="G34" s="286"/>
      <c r="H34" s="286"/>
      <c r="I34" s="286"/>
      <c r="J34" s="286"/>
      <c r="K34" s="286"/>
    </row>
    <row r="35" ht="16" customHeight="1">
      <c r="B35" s="290" t="inlineStr">
        <is>
          <t xml:space="preserve">(=) Totais (débitos = créditos)</t>
        </is>
      </c>
      <c r="C35" s="305">
        <f>SUM(C30:C34)</f>
        <v>4572.804</v>
      </c>
      <c r="D35" s="305">
        <f>SUM(D30:D34)</f>
        <v>4572.804</v>
      </c>
      <c r="E35" s="328">
        <f>ROUND(C35-D35,6)</f>
        <v>0</v>
      </c>
      <c r="F35" s="293" t="inlineStr">
        <is>
          <t xml:space="preserve">← conferência ('ok' = partidas dobradas fechadas)</t>
        </is>
      </c>
      <c r="G35" s="293"/>
      <c r="H35" s="293"/>
      <c r="I35" s="293"/>
      <c r="J35" s="293"/>
      <c r="K35" s="293"/>
    </row>
    <row r="37" ht="16" customHeight="1">
      <c r="B37" s="282" t="inlineStr">
        <is>
          <t xml:space="preserve">4) Custo do investimento das Holdings após o cash-out — CPC 15 × CPC 19</t>
        </is>
      </c>
      <c r="C37" s="282"/>
      <c r="D37" s="282"/>
    </row>
    <row r="38" ht="16" customHeight="1">
      <c r="B38" s="294" t="inlineStr">
        <is>
          <t xml:space="preserve">Cenário</t>
        </is>
      </c>
      <c r="C38" s="295" t="inlineStr">
        <is>
          <t xml:space="preserve">Custo (60%)</t>
        </is>
      </c>
      <c r="D38" s="295" t="inlineStr">
        <is>
          <t xml:space="preserve">Δ vs. CPC 15</t>
        </is>
      </c>
      <c r="E38" s="294" t="inlineStr">
        <is>
          <t xml:space="preserve">Leitura</t>
        </is>
      </c>
      <c r="F38" s="294"/>
      <c r="G38" s="294"/>
      <c r="H38" s="294"/>
      <c r="I38" s="294"/>
      <c r="J38" s="294"/>
      <c r="K38" s="294"/>
    </row>
    <row r="39" ht="30" customHeight="1">
      <c r="B39" s="286" t="inlineStr">
        <is>
          <t xml:space="preserve">CPC 15 — custo incrementado remanescente (aba 'Cálculos da Operação', cenário B)</t>
        </is>
      </c>
      <c r="C39" s="302">
        <f>'Cálculos da Operação'!J93</f>
        <v>645.6</v>
      </c>
      <c r="D39" s="325" t="inlineStr">
        <is>
          <t xml:space="preserve">–</t>
        </is>
      </c>
      <c r="E39" s="286" t="inlineStr">
        <is>
          <t xml:space="preserve">Custo original + reflexo da CNP a valor de mercado, líquido da parcela baixada no cash-out; sem passivo fiscal diferido.</t>
        </is>
      </c>
      <c r="F39" s="286"/>
      <c r="G39" s="286"/>
      <c r="H39" s="286"/>
      <c r="I39" s="286"/>
      <c r="J39" s="286"/>
      <c r="K39" s="286"/>
    </row>
    <row r="40" ht="30" customHeight="1">
      <c r="B40" s="286" t="inlineStr">
        <is>
          <t xml:space="preserve">CPC 19 — 60% do valor justo da JO (quadro 2)</t>
        </is>
      </c>
      <c r="C40" s="302">
        <f>D22</f>
        <v>3573</v>
      </c>
      <c r="D40" s="302">
        <f>C40-C39</f>
        <v>2927.4</v>
      </c>
      <c r="E40" s="286" t="inlineStr">
        <is>
          <t xml:space="preserve">A diferença é o AVJ de toda a JO (60%) menos a mais-valia da CNP que o CPC 15 já leva ao custo; sobre o AVJ há IR diferido de 34%.</t>
        </is>
      </c>
      <c r="F40" s="286"/>
      <c r="G40" s="286"/>
      <c r="H40" s="286"/>
      <c r="I40" s="286"/>
      <c r="J40" s="286"/>
      <c r="K40" s="286"/>
    </row>
    <row r="41" ht="30" customHeight="1">
      <c r="B41" s="291" t="inlineStr">
        <is>
          <t xml:space="preserve">Parcela do custo CPC 19 com IR diferido (AVJ, 60%) e imposto 'carimbado'</t>
        </is>
      </c>
      <c r="C41" s="305">
        <f>D24</f>
        <v>2940.6</v>
      </c>
      <c r="D41" s="305">
        <f>D25</f>
        <v>999.804</v>
      </c>
      <c r="E41" s="293" t="inlineStr">
        <is>
          <t xml:space="preserve">Coluna Δ = imposto carimbado (34% × AVJ), devido na venda em qualquer cenário de preço.</t>
        </is>
      </c>
      <c r="F41" s="293"/>
      <c r="G41" s="293"/>
      <c r="H41" s="293"/>
      <c r="I41" s="293"/>
      <c r="J41" s="293"/>
      <c r="K41" s="293"/>
    </row>
    <row r="43" ht="49.0" customHeight="1">
      <c r="B43" s="284" t="inlineStr">
        <is>
          <t xml:space="preserve">Leitura: no CPC 19 o custo das Holdings sobe para 60% do valor justo de toda a JO, mas o acréscimo é integralmente 'carimbado' — o IR diferido de 34% sobre o AVJ é devido na venda, qualquer que seja o preço, e permanece na Holding mesmo que a venda seja feita pelas pessoas físicas. Elimina-se a discussão sobre o custo, ao preço de reconhecer ganho sobre a própria Embracon (não reavaliada no CPC 15) e de elevar o valor patrimonial das Holdings, com possível impacto na base do ITCMD. A comparação com o CPC 15 na venda futura está na aba 'Alienação Futura (PJ x PF)'.</t>
        </is>
      </c>
      <c r="C43" s="284"/>
      <c r="D43" s="284"/>
      <c r="E43" s="284"/>
      <c r="F43" s="284"/>
      <c r="G43" s="284"/>
      <c r="H43" s="284"/>
      <c r="I43" s="284"/>
      <c r="J43" s="284"/>
      <c r="K43" s="284"/>
    </row>
  </sheetData>
  <mergeCells count="32">
    <mergeCell ref="B6:K6"/>
    <mergeCell ref="B8:K8"/>
    <mergeCell ref="B10:C10"/>
    <mergeCell ref="D11:K11"/>
    <mergeCell ref="D12:K12"/>
    <mergeCell ref="D13:K13"/>
    <mergeCell ref="D14:K14"/>
    <mergeCell ref="D15:K15"/>
    <mergeCell ref="D16:K16"/>
    <mergeCell ref="B18:D18"/>
    <mergeCell ref="E19:K19"/>
    <mergeCell ref="E20:K20"/>
    <mergeCell ref="E21:K21"/>
    <mergeCell ref="E22:K22"/>
    <mergeCell ref="E23:K23"/>
    <mergeCell ref="E24:K24"/>
    <mergeCell ref="E25:K25"/>
    <mergeCell ref="E26:K26"/>
    <mergeCell ref="B28:D28"/>
    <mergeCell ref="E29:K29"/>
    <mergeCell ref="E30:K30"/>
    <mergeCell ref="E31:K31"/>
    <mergeCell ref="E32:K32"/>
    <mergeCell ref="E33:K33"/>
    <mergeCell ref="E34:K34"/>
    <mergeCell ref="F35:K35"/>
    <mergeCell ref="B37:D37"/>
    <mergeCell ref="E38:K38"/>
    <mergeCell ref="E39:K39"/>
    <mergeCell ref="E40:K40"/>
    <mergeCell ref="E41:K41"/>
    <mergeCell ref="B43:K43"/>
  </mergeCells>
  <pageMargins left="0.511811024" right="0.511811024" top="0.78740157499999996" bottom="0.78740157499999996" header="0.31496062000000002" footer="0.31496062000000002"/>
  <pageSetup paperSize="9" orientation="landscape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B3:Q38"/>
  <sheetViews>
    <sheetView showGridLines="0" zoomScale="90" zoomScaleNormal="90" workbookViewId="0">
      <selection activeCell="B6" sqref="B6"/>
    </sheetView>
  </sheetViews>
  <sheetFormatPr defaultColWidth="8.90625" defaultRowHeight="14.5"/>
  <cols>
    <col min="1" max="1" width="7.54296875" customWidth="1"/>
    <col min="2" max="2" width="46.1796875" customWidth="1"/>
    <col min="3" max="3" width="21.7265625" customWidth="1"/>
    <col min="4" max="4" width="16.54296875" customWidth="1"/>
    <col min="5" max="5" width="18" customWidth="1"/>
    <col min="6" max="6" width="16.26953125" customWidth="1"/>
    <col min="7" max="7" width="11.54296875" customWidth="1"/>
    <col min="8" max="8" width="10.54296875" customWidth="1"/>
    <col min="9" max="9" width="9" customWidth="1"/>
    <col min="10" max="10" width="9" customWidth="1"/>
    <col min="11" max="11" width="9" customWidth="1"/>
  </cols>
  <sheetData>
    <row r="4" ht="26" customHeight="1">
      <c r="C4" s="277" t="inlineStr">
        <is>
          <t xml:space="preserve">Conclusão — CPC 15 × CPC 19</t>
        </is>
      </c>
    </row>
    <row r="5" ht="44" customHeight="1">
      <c r="C5" s="342" t="inlineStr">
        <is>
          <t xml:space="preserve">4 de setembro de 2026</t>
        </is>
      </c>
    </row>
    <row r="6" ht="18.5" customHeight="1">
      <c r="B6" s="278" t="inlineStr">
        <is>
          <t xml:space="preserve">Custo do investimento para Savian e JVFJ</t>
        </is>
      </c>
      <c r="C6" s="278"/>
      <c r="D6" s="278"/>
      <c r="E6" s="278"/>
      <c r="F6" s="278"/>
      <c r="G6" s="278"/>
      <c r="H6" s="278"/>
      <c r="I6" s="278"/>
      <c r="J6" s="278"/>
      <c r="K6" s="278"/>
    </row>
    <row r="8" ht="64.0" customHeight="1">
      <c r="B8" s="284" t="inlineStr">
        <is>
          <t xml:space="preserve">O objetivo destes exemplos é ilustrar o impacto que a classificação da Transação como Combinação de Negócios (CPC 15) ou como Joint Operation (CPC 19) pode gerar no custo do investimento das Holdings e no caso de venda futura da participação remanescente de 60% da Embracon. Para isso, simulamos a venda com (i) preço inferior ao valor justo; (ii) preço idêntico ao valor justo; e (iii) preço superior ao valor justo — pela própria Holding ou pelas pessoas físicas (alíquota simplificada de 22,5% sobre o ganho de capital). Os números são meramente estimados e não devem ser utilizados para ilustrar custos e contingências reais. Todos os valores são vinculados às abas 'Premissas', 'Cálculos da Operação', 'CPC 19' e 'Alienação Futura (PJ x PF)'.</t>
        </is>
      </c>
      <c r="C8" s="284"/>
      <c r="D8" s="284"/>
      <c r="E8" s="284"/>
      <c r="F8" s="284"/>
      <c r="G8" s="284"/>
      <c r="H8" s="284"/>
      <c r="I8" s="284"/>
      <c r="J8" s="284"/>
      <c r="K8" s="284"/>
    </row>
    <row r="10" ht="19" customHeight="1">
      <c r="B10" s="280" t="inlineStr">
        <is>
          <t xml:space="preserve">CPC 15 | Combinação de Negócios</t>
        </is>
      </c>
      <c r="C10" s="280"/>
      <c r="D10" s="280"/>
      <c r="E10" s="280"/>
      <c r="F10" s="280"/>
      <c r="G10" s="280"/>
      <c r="H10" s="280"/>
      <c r="I10" s="280"/>
      <c r="J10" s="280"/>
      <c r="K10" s="280"/>
    </row>
    <row r="11" ht="30" customHeight="1">
      <c r="B11" s="294" t="inlineStr">
        <is>
          <t xml:space="preserve"/>
        </is>
      </c>
      <c r="C11" s="295" t="inlineStr">
        <is>
          <t xml:space="preserve">PPA CNP</t>
        </is>
      </c>
      <c r="D11" s="295" t="inlineStr">
        <is>
          <t xml:space="preserve">Antes da Transação</t>
        </is>
      </c>
      <c r="E11" s="295" t="inlineStr">
        <is>
          <t xml:space="preserve">Depois do Cash-Out</t>
        </is>
      </c>
      <c r="F11" s="295" t="inlineStr">
        <is>
          <t xml:space="preserve">Δ</t>
        </is>
      </c>
      <c r="G11" s="295" t="inlineStr">
        <is>
          <t xml:space="preserve">IR 34% se negado</t>
        </is>
      </c>
      <c r="H11" s="294" t="inlineStr">
        <is>
          <t xml:space="preserve">Risco — 34% diferido</t>
        </is>
      </c>
      <c r="I11" s="294"/>
      <c r="J11" s="294"/>
      <c r="K11" s="294"/>
    </row>
    <row r="12" ht="45" customHeight="1">
      <c r="B12" s="340" t="inlineStr">
        <is>
          <t xml:space="preserve">Embracon (PL)</t>
        </is>
      </c>
      <c r="C12" s="325" t="inlineStr">
        <is>
          <t xml:space="preserve">–</t>
        </is>
      </c>
      <c r="D12" s="309">
        <f>Premissas!C19</f>
        <v>254</v>
      </c>
      <c r="E12" s="309">
        <f>'Cálculos da Operação'!I93</f>
        <v>176.798143851508</v>
      </c>
      <c r="F12" s="320">
        <f>E12-D12</f>
        <v>-77.2018561484919</v>
      </c>
      <c r="G12" s="325" t="inlineStr">
        <is>
          <t xml:space="preserve">–</t>
        </is>
      </c>
      <c r="H12" s="286" t="inlineStr">
        <is>
          <r>
            <rPr>
              <b/>
              <sz val="11"/>
              <color rgb="FF00B050"/>
              <rFont val="Aptos Narrow"/>
              <family val="2"/>
              <scheme val="minor"/>
            </rPr>
            <t xml:space="preserve">■ </t>
          </r>
          <r>
            <rPr>
              <sz val="11"/>
              <color theme="1"/>
              <rFont val="Aptos Narrow"/>
              <family val="2"/>
              <scheme val="minor"/>
            </rPr>
            <t xml:space="preserve">Custo original remanescente — incontroverso (Δ = parcela baixada no cash-out).</t>
          </r>
        </is>
      </c>
      <c r="I12" s="286"/>
      <c r="J12" s="286"/>
      <c r="K12" s="286"/>
    </row>
    <row r="13" ht="45" customHeight="1">
      <c r="B13" s="340" t="inlineStr">
        <is>
          <t xml:space="preserve">CNP (PL)</t>
        </is>
      </c>
      <c r="C13" s="308">
        <f>Premissas!C22</f>
        <v>800</v>
      </c>
      <c r="D13" s="309">
        <v>0</v>
      </c>
      <c r="E13" s="309">
        <f>E15-E12-E14</f>
        <v>455.601856148492</v>
      </c>
      <c r="F13" s="320">
        <f>E13-D13</f>
        <v>455.601856148492</v>
      </c>
      <c r="G13" s="307">
        <f>E13*Premissas!C28</f>
        <v>154.904631090487</v>
      </c>
      <c r="H13" s="286" t="inlineStr">
        <is>
          <r>
            <rPr>
              <b/>
              <sz val="11"/>
              <color rgb="FFFFC000"/>
              <rFont val="Aptos Narrow"/>
              <family val="2"/>
              <scheme val="minor"/>
            </rPr>
            <t xml:space="preserve">■ </t>
          </r>
          <r>
            <rPr>
              <sz val="11"/>
              <color theme="1"/>
              <rFont val="Aptos Narrow"/>
              <family val="2"/>
              <scheme val="minor"/>
            </rPr>
            <t xml:space="preserve">Reflexo do PL contábil da CNP (líquido da diluição) — neutralidade do MEP, risco limitado.</t>
          </r>
        </is>
      </c>
      <c r="I13" s="286"/>
      <c r="J13" s="286"/>
      <c r="K13" s="286"/>
    </row>
    <row r="14" ht="45" customHeight="1">
      <c r="B14" s="340" t="inlineStr">
        <is>
          <t xml:space="preserve">CNP (AVJ)</t>
        </is>
      </c>
      <c r="C14" s="308">
        <f>Premissas!C37</f>
        <v>22</v>
      </c>
      <c r="D14" s="309">
        <v>0</v>
      </c>
      <c r="E14" s="309">
        <f>Premissas!C37*Premissas!C36</f>
        <v>13.2</v>
      </c>
      <c r="F14" s="320">
        <f>E14-D14</f>
        <v>13.2</v>
      </c>
      <c r="G14" s="307">
        <f>E14*Premissas!C28</f>
        <v>4.488</v>
      </c>
      <c r="H14" s="286" t="inlineStr">
        <is>
          <r>
            <rPr>
              <b/>
              <sz val="11"/>
              <color rgb="FFFF0000"/>
              <rFont val="Aptos Narrow"/>
              <family val="2"/>
              <scheme val="minor"/>
            </rPr>
            <t xml:space="preserve">■ </t>
          </r>
          <r>
            <rPr>
              <sz val="11"/>
              <color theme="1"/>
              <rFont val="Aptos Narrow"/>
              <family val="2"/>
              <scheme val="minor"/>
            </rPr>
            <t xml:space="preserve">Reflexo do valor justo (mais-valia) do PL da CNP — parcela mais exposta.</t>
          </r>
        </is>
      </c>
      <c r="I14" s="286"/>
      <c r="J14" s="286"/>
      <c r="K14" s="286"/>
    </row>
    <row r="15" ht="45" customHeight="1">
      <c r="B15" s="339" t="inlineStr">
        <is>
          <t xml:space="preserve">Inv. Embracon</t>
        </is>
      </c>
      <c r="C15" s="319">
        <f>C13+C14</f>
        <v>822</v>
      </c>
      <c r="D15" s="319">
        <f>SUM(D12:D14)</f>
        <v>254</v>
      </c>
      <c r="E15" s="319">
        <f>'Cálculos da Operação'!J93</f>
        <v>645.6</v>
      </c>
      <c r="F15" s="343">
        <f>E15-D15</f>
        <v>391.6</v>
      </c>
      <c r="G15" s="319">
        <f>SUM(G13:G14)</f>
        <v>159.392631090487</v>
      </c>
      <c r="H15" s="286" t="inlineStr">
        <is>
          <t xml:space="preserve">Total = custo incrementado remanescente (aba 'Cálculos', cenário B); PPA = valor de mercado incorporado.</t>
        </is>
      </c>
      <c r="I15" s="286"/>
      <c r="J15" s="286"/>
      <c r="K15" s="286"/>
    </row>
    <row r="16" ht="45" customHeight="1">
      <c r="B16" s="286" t="inlineStr">
        <is>
          <t xml:space="preserve">Conferência: reflexo do PL contábil (linha CNP PL) × cálculo direto [PL CNP × 60% − diluição de 13,8% sobre o custo original × (1 − fração vendida)]</t>
        </is>
      </c>
      <c r="C16" s="328">
        <f>ROUND(E13-(Premissas!C22*Premissas!C36-Premissas!C19*Premissas!C25*(1-Premissas!C39)),6)</f>
        <v>0</v>
      </c>
    </row>
    <row r="18" ht="19" customHeight="1">
      <c r="B18" s="281" t="inlineStr">
        <is>
          <t xml:space="preserve">CPC 19 | Joint Operation</t>
        </is>
      </c>
      <c r="C18" s="281"/>
      <c r="D18" s="281"/>
      <c r="E18" s="281"/>
      <c r="F18" s="281"/>
      <c r="G18" s="281"/>
      <c r="H18" s="281"/>
      <c r="I18" s="281"/>
      <c r="J18" s="281"/>
      <c r="K18" s="281"/>
    </row>
    <row r="19" ht="30" customHeight="1">
      <c r="B19" s="294" t="inlineStr">
        <is>
          <t xml:space="preserve"/>
        </is>
      </c>
      <c r="C19" s="295" t="inlineStr">
        <is>
          <t xml:space="preserve">100% JO</t>
        </is>
      </c>
      <c r="D19" s="295" t="inlineStr">
        <is>
          <t xml:space="preserve">60% JO</t>
        </is>
      </c>
      <c r="E19" s="295" t="inlineStr">
        <is>
          <t xml:space="preserve">IR 34% diferido</t>
        </is>
      </c>
      <c r="F19" s="294" t="inlineStr">
        <is>
          <t xml:space="preserve">Risco — 34% diferido</t>
        </is>
      </c>
      <c r="G19" s="294"/>
      <c r="H19" s="294"/>
      <c r="I19" s="294"/>
      <c r="J19" s="294"/>
      <c r="K19" s="294"/>
    </row>
    <row r="20" ht="32" customHeight="1">
      <c r="B20" s="340" t="inlineStr">
        <is>
          <t xml:space="preserve">JO (PL)</t>
        </is>
      </c>
      <c r="C20" s="308">
        <f>'CPC 19'!C15</f>
        <v>1054</v>
      </c>
      <c r="D20" s="309">
        <f>'CPC 19'!D23</f>
        <v>632.4</v>
      </c>
      <c r="E20" s="325" t="inlineStr">
        <is>
          <t xml:space="preserve">–</t>
        </is>
      </c>
      <c r="F20" s="286" t="inlineStr">
        <is>
          <r>
            <rPr>
              <b/>
              <sz val="11"/>
              <color rgb="FF00B050"/>
              <rFont val="Aptos Narrow"/>
              <family val="2"/>
              <scheme val="minor"/>
            </rPr>
            <t xml:space="preserve">■ </t>
          </r>
          <r>
            <rPr>
              <sz val="11"/>
              <color theme="1"/>
              <rFont val="Aptos Narrow"/>
              <family val="2"/>
              <scheme val="minor"/>
            </rPr>
            <t xml:space="preserve">Reflexo patrimonial (base contábil: PL da Embracon + PL contábil da CNP).</t>
          </r>
        </is>
      </c>
      <c r="G20" s="286"/>
      <c r="H20" s="286"/>
      <c r="I20" s="286"/>
      <c r="J20" s="286"/>
      <c r="K20" s="286"/>
    </row>
    <row r="21" ht="32" customHeight="1">
      <c r="B21" s="340" t="inlineStr">
        <is>
          <t xml:space="preserve">AVJ JO</t>
        </is>
      </c>
      <c r="C21" s="308">
        <f>'CPC 19'!C16</f>
        <v>4901</v>
      </c>
      <c r="D21" s="309">
        <f>'CPC 19'!D24</f>
        <v>2940.6</v>
      </c>
      <c r="E21" s="307">
        <f>'CPC 19'!D25</f>
        <v>999.804</v>
      </c>
      <c r="F21" s="286" t="inlineStr">
        <is>
          <r>
            <rPr>
              <b/>
              <sz val="11"/>
              <color rgb="FFFF0000"/>
              <rFont val="Aptos Narrow"/>
              <family val="2"/>
              <scheme val="minor"/>
            </rPr>
            <t xml:space="preserve">■ </t>
          </r>
          <r>
            <rPr>
              <sz val="11"/>
              <color theme="1"/>
              <rFont val="Aptos Narrow"/>
              <family val="2"/>
              <scheme val="minor"/>
            </rPr>
            <t xml:space="preserve">AVJ de Embracon + CNP — IR de 34% 'carimbado', devido na venda em qualquer preço.</t>
          </r>
        </is>
      </c>
      <c r="G21" s="286"/>
      <c r="H21" s="286"/>
      <c r="I21" s="286"/>
      <c r="J21" s="286"/>
      <c r="K21" s="286"/>
    </row>
    <row r="22" ht="32" customHeight="1">
      <c r="B22" s="339" t="inlineStr">
        <is>
          <t xml:space="preserve">Inv. JO</t>
        </is>
      </c>
      <c r="C22" s="319">
        <f>'CPC 19'!C14</f>
        <v>5955</v>
      </c>
      <c r="D22" s="319">
        <f>'CPC 19'!D26</f>
        <v>3573</v>
      </c>
      <c r="E22" s="319">
        <f>E21</f>
        <v>999.804</v>
      </c>
      <c r="F22" s="286" t="inlineStr">
        <is>
          <t xml:space="preserve">Total = 60% do valor justo da JO (aba 'CPC 19').</t>
        </is>
      </c>
      <c r="G22" s="286"/>
      <c r="H22" s="286"/>
      <c r="I22" s="286"/>
      <c r="J22" s="286"/>
      <c r="K22" s="286"/>
    </row>
    <row r="24" ht="18.5" customHeight="1">
      <c r="B24" s="278" t="inlineStr">
        <is>
          <t xml:space="preserve">Venda futura dos 60%</t>
        </is>
      </c>
      <c r="C24" s="278"/>
      <c r="D24" s="278"/>
      <c r="E24" s="278"/>
      <c r="F24" s="278"/>
      <c r="G24" s="278"/>
      <c r="H24" s="278"/>
      <c r="I24" s="278"/>
      <c r="J24" s="278"/>
      <c r="K24" s="278"/>
    </row>
    <row r="26" ht="19" customHeight="1">
      <c r="C26" s="280" t="inlineStr">
        <is>
          <t xml:space="preserve">CPC 15 | Combinação de Negócios</t>
        </is>
      </c>
      <c r="D26" s="280"/>
      <c r="E26" s="280"/>
      <c r="G26" s="281" t="inlineStr">
        <is>
          <t xml:space="preserve">CPC 19 | Joint Operation</t>
        </is>
      </c>
      <c r="H26" s="281"/>
      <c r="I26" s="281"/>
    </row>
    <row r="27" ht="30" customHeight="1">
      <c r="C27" s="294" t="inlineStr">
        <is>
          <t xml:space="preserve">Preço</t>
        </is>
      </c>
      <c r="D27" s="295" t="inlineStr">
        <is>
          <t xml:space="preserve">Venda pela PJ</t>
        </is>
      </c>
      <c r="E27" s="295" t="inlineStr">
        <is>
          <t xml:space="preserve">Venda pela PF</t>
        </is>
      </c>
      <c r="G27" s="294" t="inlineStr">
        <is>
          <t xml:space="preserve">Preço</t>
        </is>
      </c>
      <c r="H27" s="295" t="inlineStr">
        <is>
          <t xml:space="preserve">Venda pela PJ</t>
        </is>
      </c>
      <c r="I27" s="295" t="inlineStr">
        <is>
          <t xml:space="preserve">Venda pela PF</t>
        </is>
      </c>
    </row>
    <row r="28" ht="18" customHeight="1">
      <c r="C28" s="344">
        <f>'Alienação Futura (PJ x PF)'!C30</f>
        <v>1000</v>
      </c>
      <c r="D28" s="309">
        <f>'Alienação Futura (PJ x PF)'!D30</f>
        <v>120.496</v>
      </c>
      <c r="E28" s="309">
        <f>'Alienação Futura (PJ x PF)'!E30</f>
        <v>220.95</v>
      </c>
      <c r="G28" s="344">
        <f>'Alienação Futura (PJ x PF)'!C30</f>
        <v>1000</v>
      </c>
      <c r="H28" s="309">
        <f>'Alienação Futura (PJ x PF)'!F30</f>
        <v>999.804</v>
      </c>
      <c r="I28" s="309">
        <f>'Alienação Futura (PJ x PF)'!G30</f>
        <v>999.804</v>
      </c>
    </row>
    <row r="29" ht="18" customHeight="1">
      <c r="C29" s="344">
        <f>'Alienação Futura (PJ x PF)'!C31</f>
        <v>3573</v>
      </c>
      <c r="D29" s="309">
        <f>'Alienação Futura (PJ x PF)'!D31</f>
        <v>995.316</v>
      </c>
      <c r="E29" s="309">
        <f>'Alienação Futura (PJ x PF)'!E31</f>
        <v>799.875</v>
      </c>
      <c r="G29" s="344">
        <f>'Alienação Futura (PJ x PF)'!C31</f>
        <v>3573</v>
      </c>
      <c r="H29" s="309">
        <f>'Alienação Futura (PJ x PF)'!F31</f>
        <v>999.804</v>
      </c>
      <c r="I29" s="309">
        <f>'Alienação Futura (PJ x PF)'!G31</f>
        <v>999.804</v>
      </c>
    </row>
    <row r="30" ht="18" customHeight="1">
      <c r="C30" s="344">
        <f>'Alienação Futura (PJ x PF)'!C32</f>
        <v>5000</v>
      </c>
      <c r="D30" s="309">
        <f>'Alienação Futura (PJ x PF)'!D32</f>
        <v>1480.496</v>
      </c>
      <c r="E30" s="309">
        <f>'Alienação Futura (PJ x PF)'!E32</f>
        <v>1120.95</v>
      </c>
      <c r="G30" s="344">
        <f>'Alienação Futura (PJ x PF)'!C32</f>
        <v>5000</v>
      </c>
      <c r="H30" s="309">
        <f>'Alienação Futura (PJ x PF)'!F32</f>
        <v>1484.984</v>
      </c>
      <c r="I30" s="309">
        <f>'Alienação Futura (PJ x PF)'!G32</f>
        <v>1320.879</v>
      </c>
    </row>
    <row r="31" ht="16" customHeight="1">
      <c r="B31" s="286" t="inlineStr">
        <is>
          <t xml:space="preserve">Imposto (IRPJ/CSLL de 34% na Holding; IR de 22,5% na PF) na venda dos 60%, em R$ milhões — valores da aba 'Alienação Futura (PJ x PF)'.</t>
        </is>
      </c>
      <c r="C31" s="286"/>
      <c r="D31" s="286"/>
      <c r="E31" s="286"/>
      <c r="F31" s="286"/>
      <c r="G31" s="286"/>
      <c r="H31" s="286"/>
      <c r="I31" s="286"/>
      <c r="J31" s="286"/>
      <c r="K31" s="286"/>
    </row>
    <row r="33" ht="18.5" customHeight="1">
      <c r="B33" s="278" t="inlineStr">
        <is>
          <t xml:space="preserve">Conclusão executiva</t>
        </is>
      </c>
      <c r="C33" s="278"/>
      <c r="D33" s="278"/>
      <c r="E33" s="278"/>
      <c r="F33" s="278"/>
      <c r="G33" s="278"/>
      <c r="H33" s="278"/>
      <c r="I33" s="278"/>
      <c r="J33" s="278"/>
      <c r="K33" s="278"/>
    </row>
    <row r="35" ht="49.0" customHeight="1">
      <c r="B35" s="285" t="inlineStr">
        <is>
          <t xml:space="preserve">• CPC 15 é o cenário mais favorável às Holdings: o custo do investimento incorpora o reflexo da incorporação sem registro de passivo fiscal diferido, o imposto na venda futura acompanha o preço e existe a alternativa de venda pelas pessoas físicas à alíquota de 22,5%. O risco concentra-se na neutralidade do reflexo do PL contábil da CNP; com as premissas atuais a mais-valia é pequena e o imposto potencial sobre ela é residual.</t>
        </is>
      </c>
      <c r="C35" s="285"/>
      <c r="D35" s="285"/>
      <c r="E35" s="285"/>
      <c r="F35" s="285"/>
      <c r="G35" s="285"/>
      <c r="H35" s="285"/>
      <c r="I35" s="285"/>
      <c r="J35" s="285"/>
      <c r="K35" s="285"/>
    </row>
    <row r="36" ht="49.0" customHeight="1">
      <c r="B36" s="285" t="inlineStr">
        <is>
          <t xml:space="preserve">• CPC 19 elimina a discussão sobre o custo, mas ao preço de reconhecer ganho de AVJ sobre toda a JO — inclusive a Embracon, que no CPC 15 não é reavaliada — com IRPJ/CSLL de 34% carimbado e devido na venda em qualquer cenário de preço, sem a alternativa da PF. Além disso, o valor patrimonial das Holdings poderá subir ao valor justo (reconhecimento da CNP e da Embracon), com possível repercussão na base de cálculo do ITCMD, a depender do critério legal aplicável (tema não analisado neste material).</t>
        </is>
      </c>
      <c r="C36" s="285"/>
      <c r="D36" s="285"/>
      <c r="E36" s="285"/>
      <c r="F36" s="285"/>
      <c r="G36" s="285"/>
      <c r="H36" s="285"/>
      <c r="I36" s="285"/>
      <c r="J36" s="285"/>
      <c r="K36" s="285"/>
    </row>
    <row r="37" ht="49.0" customHeight="1">
      <c r="B37" s="285" t="inlineStr">
        <is>
          <t xml:space="preserve">• Na venda ao valor justo ou acima, a carga dos dois regimes é próxima (diferença = 34% da mais-valia da CNP); abaixo do valor justo, o CPC 19 é substancialmente mais oneroso. Se a tese de neutralidade do reflexo fosse integralmente afastada (RISCO 1), o CPC 15 passaria a ser mais oneroso que o CPC 19 nas vendas a partir do valor justo — daí a importância de documentar a tese e o laudo de avaliação (PPA).</t>
        </is>
      </c>
      <c r="C37" s="285"/>
      <c r="D37" s="285"/>
      <c r="E37" s="285"/>
      <c r="F37" s="285"/>
      <c r="G37" s="285"/>
      <c r="H37" s="285"/>
      <c r="I37" s="285"/>
      <c r="J37" s="285"/>
      <c r="K37" s="285"/>
    </row>
    <row r="38" ht="34.0" customHeight="1">
      <c r="B38" s="284" t="inlineStr">
        <is>
          <t xml:space="preserve">Ressalvas: valores ilustrativos em R$ milhões, data-base 30.06.2026, com as premissas da aba 'Premissas'. As Holdings estão no lucro presumido; na venda futura, a carga efetiva na PJ poderia ser reduzida com a opção pelo lucro real e a existência de prejuízos compensáveis. O custo das quotas nas PFs é premissa ilustrativa a confirmar. O material não avalia o ITCMD.</t>
        </is>
      </c>
      <c r="C38" s="284"/>
      <c r="D38" s="284"/>
      <c r="E38" s="284"/>
      <c r="F38" s="284"/>
      <c r="G38" s="284"/>
      <c r="H38" s="284"/>
      <c r="I38" s="284"/>
      <c r="J38" s="284"/>
      <c r="K38" s="284"/>
    </row>
  </sheetData>
  <mergeCells count="22">
    <mergeCell ref="B6:K6"/>
    <mergeCell ref="B8:K8"/>
    <mergeCell ref="B10:K10"/>
    <mergeCell ref="H11:K11"/>
    <mergeCell ref="H12:K12"/>
    <mergeCell ref="H13:K13"/>
    <mergeCell ref="H14:K14"/>
    <mergeCell ref="H15:K15"/>
    <mergeCell ref="B18:K18"/>
    <mergeCell ref="F19:K19"/>
    <mergeCell ref="F20:K20"/>
    <mergeCell ref="F21:K21"/>
    <mergeCell ref="F22:K22"/>
    <mergeCell ref="B24:K24"/>
    <mergeCell ref="C26:E26"/>
    <mergeCell ref="G26:I26"/>
    <mergeCell ref="B31:K31"/>
    <mergeCell ref="B33:K33"/>
    <mergeCell ref="B35:K35"/>
    <mergeCell ref="B36:K36"/>
    <mergeCell ref="B37:K37"/>
    <mergeCell ref="B38:K38"/>
  </mergeCells>
  <pageMargins left="0.511811024" right="0.511811024" top="0.78740157499999996" bottom="0.78740157499999996" header="0.31496062000000002" footer="0.31496062000000002"/>
  <pageSetup paperSize="9" orientation="landscape" fitToWidth="1" fitToHeight="0"/>
  <drawing r:id="rId1"/>
</worksheet>
</file>

<file path=docMetadata/LabelInfo.xml><?xml version="1.0" encoding="utf-8"?>
<clbl:labelList xmlns:clbl="http://schemas.microsoft.com/office/2020/mipLabelMetadata">
  <clbl:label id="{ea803e51-b7dd-4b01-9f98-6ad769db2115}" enabled="0" method="" siteId="{ea803e51-b7dd-4b01-9f98-6ad769db21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Organograma</vt:lpstr>
      <vt:lpstr>Premissas</vt:lpstr>
      <vt:lpstr>Cálculos da Operação</vt:lpstr>
      <vt:lpstr>CPC 19</vt:lpstr>
      <vt:lpstr>Alienação Futura (PJ x PF)</vt:lpstr>
      <vt:lpstr>Conclusão</vt:lpstr>
      <vt:lpstr>Dourada C. e A. SA</vt:lpstr>
      <vt:lpstr>Embracon Franchising</vt:lpstr>
      <vt:lpstr>Embrafisa Consul.</vt:lpstr>
      <vt:lpstr>GSJ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Reinaldo Passaro | Stocche Forbes Advogados</dc:creator>
  <cp:lastModifiedBy>Caue Costa Silva | Stocche Forbes Advogados</cp:lastModifiedBy>
  <dcterms:created xsi:type="dcterms:W3CDTF">2025-02-03T12:46:49Z</dcterms:created>
  <dcterms:modified xsi:type="dcterms:W3CDTF">2026-09-04T10:46:25Z</dcterms:modified>
</cp:coreProperties>
</file>