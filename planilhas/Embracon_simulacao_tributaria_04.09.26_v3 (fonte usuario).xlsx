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ccheforbes-my.sharepoint.com/personal/casilva_stoccheforbes_com_br/Documents/Documentos/Embracon/Planilha + Materiais/Versões finais (31.08)/"/>
    </mc:Choice>
  </mc:AlternateContent>
  <xr:revisionPtr revIDLastSave="0" documentId="8_{2D7AA997-854A-492A-8A63-8B33F72EBDD6}" xr6:coauthVersionLast="47" xr6:coauthVersionMax="47" xr10:uidLastSave="{00000000-0000-0000-0000-000000000000}"/>
  <bookViews>
    <workbookView xWindow="-110" yWindow="-110" windowWidth="25820" windowHeight="15500" xr2:uid="{9F143F3C-4A7F-4F50-9B6A-A4BAA8B69D0B}"/>
  </bookViews>
  <sheets>
    <sheet name="Organograma" sheetId="3" r:id="rId1"/>
    <sheet name="Cálculos da Operação" sheetId="15" r:id="rId2"/>
    <sheet name="Segregação de Risco" sheetId="17" r:id="rId3"/>
    <sheet name="Dourada C. e A. SA" sheetId="4" state="hidden" r:id="rId4"/>
    <sheet name="Embracon Franchising" sheetId="10" state="hidden" r:id="rId5"/>
    <sheet name="Embrafisa Consul." sheetId="9" state="hidden" r:id="rId6"/>
    <sheet name="GSJ" sheetId="11" state="hidden" r:id="rId7"/>
  </sheets>
  <definedNames>
    <definedName name="__xlnm_Print_Area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9" i="15" l="1"/>
  <c r="K87" i="15"/>
  <c r="K86" i="15"/>
  <c r="J89" i="15"/>
  <c r="J87" i="15"/>
  <c r="J86" i="15"/>
  <c r="J85" i="15"/>
  <c r="J83" i="15"/>
  <c r="J82" i="15"/>
  <c r="J81" i="15"/>
  <c r="J80" i="15"/>
  <c r="I89" i="15"/>
  <c r="I87" i="15"/>
  <c r="I86" i="15"/>
  <c r="I85" i="15"/>
  <c r="I83" i="15"/>
  <c r="I82" i="15"/>
  <c r="I81" i="15"/>
  <c r="I80" i="15"/>
  <c r="C81" i="15"/>
  <c r="D68" i="15"/>
  <c r="D67" i="15"/>
  <c r="D63" i="15"/>
  <c r="D62" i="15"/>
  <c r="C21" i="15"/>
  <c r="C20" i="15"/>
  <c r="E54" i="15"/>
  <c r="D54" i="15"/>
  <c r="E47" i="15"/>
  <c r="D47" i="15"/>
  <c r="C37" i="15"/>
  <c r="E48" i="15" s="1"/>
  <c r="C36" i="15"/>
  <c r="D31" i="15"/>
  <c r="C74" i="15" s="1"/>
  <c r="D32" i="15"/>
  <c r="C75" i="15" s="1"/>
  <c r="D30" i="15"/>
  <c r="D33" i="15" s="1"/>
  <c r="D60" i="15" l="1"/>
  <c r="D64" i="15"/>
  <c r="D65" i="15" s="1"/>
  <c r="C73" i="15"/>
  <c r="F47" i="15"/>
  <c r="E49" i="15"/>
  <c r="E50" i="15" s="1"/>
  <c r="E55" i="15" s="1"/>
  <c r="C38" i="15"/>
  <c r="D48" i="15"/>
  <c r="I47" i="15" s="1"/>
  <c r="D69" i="15" l="1"/>
  <c r="C82" i="15" s="1"/>
  <c r="C76" i="15"/>
  <c r="D74" i="15"/>
  <c r="F74" i="15" s="1"/>
  <c r="D73" i="15"/>
  <c r="D75" i="15"/>
  <c r="F75" i="15" s="1"/>
  <c r="D37" i="15"/>
  <c r="C43" i="15"/>
  <c r="C42" i="15"/>
  <c r="C41" i="15"/>
  <c r="F73" i="15"/>
  <c r="D49" i="15"/>
  <c r="D50" i="15" s="1"/>
  <c r="D55" i="15" s="1"/>
  <c r="E53" i="15" s="1"/>
  <c r="E81" i="15" s="1"/>
  <c r="F48" i="15"/>
  <c r="D36" i="15"/>
  <c r="C83" i="15" l="1"/>
  <c r="C85" i="15" s="1"/>
  <c r="C89" i="15"/>
  <c r="E82" i="15"/>
  <c r="E83" i="15" s="1"/>
  <c r="E85" i="15" s="1"/>
  <c r="F76" i="15"/>
  <c r="D76" i="15"/>
  <c r="C40" i="15"/>
  <c r="D38" i="15"/>
  <c r="F49" i="15"/>
  <c r="J48" i="15"/>
  <c r="J49" i="15" s="1"/>
  <c r="F50" i="15"/>
  <c r="C87" i="15" l="1"/>
  <c r="C86" i="15"/>
  <c r="E86" i="15"/>
  <c r="E87" i="15"/>
  <c r="E89" i="15"/>
  <c r="G89" i="15" s="1"/>
  <c r="G86" i="15" l="1"/>
  <c r="G87" i="15"/>
  <c r="G4" i="11" l="1"/>
  <c r="G5" i="11"/>
  <c r="G9" i="11"/>
  <c r="D9" i="11"/>
  <c r="G4" i="4"/>
  <c r="D5" i="11"/>
  <c r="J5" i="4"/>
  <c r="G5" i="9"/>
  <c r="G4" i="9"/>
  <c r="G10" i="9"/>
  <c r="D4" i="9"/>
  <c r="D12" i="9"/>
  <c r="D5" i="9"/>
  <c r="D9" i="10"/>
  <c r="G7" i="10"/>
  <c r="G4" i="10" s="1"/>
  <c r="G5" i="10"/>
  <c r="D5" i="10"/>
  <c r="D4" i="10" s="1"/>
  <c r="D4" i="11" l="1"/>
  <c r="G10" i="4" l="1"/>
  <c r="G5" i="4"/>
  <c r="G13" i="4"/>
  <c r="D5" i="4"/>
  <c r="D4" i="4" s="1"/>
  <c r="D11" i="4"/>
</calcChain>
</file>

<file path=xl/sharedStrings.xml><?xml version="1.0" encoding="utf-8"?>
<sst xmlns="http://schemas.openxmlformats.org/spreadsheetml/2006/main" count="230" uniqueCount="173">
  <si>
    <t>DOURADA COMERCIAL E AGROPECUARIA S/A</t>
  </si>
  <si>
    <t>Provisão p/ devedores duvidosos</t>
  </si>
  <si>
    <t>-Excel LALUR 2024</t>
  </si>
  <si>
    <t xml:space="preserve">Incentivos Fiscais </t>
  </si>
  <si>
    <t xml:space="preserve">Base de Cálculo do Incentivo </t>
  </si>
  <si>
    <t xml:space="preserve">Limite de Dedução Individual </t>
  </si>
  <si>
    <t xml:space="preserve">Embasamento Legal </t>
  </si>
  <si>
    <t>Programa de Alimentação ao Trabalhador - PAT</t>
  </si>
  <si>
    <t>objetivo de melhorar as condições nutricionais e de qualidade de vida dos trabalhadores</t>
  </si>
  <si>
    <t>4% do IRPJ devido ANTES ADCIONAL 10%</t>
  </si>
  <si>
    <t>Artigos 491 a 493, 504 a 507, 581 a 587 do RIR/99</t>
  </si>
  <si>
    <t>Doações aos Fundos dos Direitos da Criança e do Adolescente</t>
  </si>
  <si>
    <t>Doações efetivamente realizadas</t>
  </si>
  <si>
    <t>1% do IRPJ devido ANTES ADICIONAL 10%</t>
  </si>
  <si>
    <t>Art. 591 do RIR/99</t>
  </si>
  <si>
    <t>Atividade Audiovisual</t>
  </si>
  <si>
    <t>Valores aplicados na aquisição de certificados de investimentos em projetos aprovados pelo Ministério da Cultura</t>
  </si>
  <si>
    <t>3% do IRPJ devido ANTES ADICIONAL 10%</t>
  </si>
  <si>
    <t>  Artigos 475  478, 484 a 488 do RIR/99</t>
  </si>
  <si>
    <t>LEI DE INCENTIVO A CULTURAL - ROUANET</t>
  </si>
  <si>
    <t>É a lei que institui o Programa Nacional de Apoio à Cultura - PRONAC</t>
  </si>
  <si>
    <t>4% do IRPJ devido ANTES ADICIONAL 10%</t>
  </si>
  <si>
    <t>Base Legal: Lei 8.313/1991; Lei 9.874/1999; Decreto 3.000/1999; Instrução Normativa-SRF 267/2002 e Instrução Normativa-SRF 390/2004.</t>
  </si>
  <si>
    <t>FUNDO MUNICIPAL DO IDOSO - FMI</t>
  </si>
  <si>
    <t xml:space="preserve">doações efetuadas aos respectivos fundos municipais, estaduais e nacional. </t>
  </si>
  <si>
    <t>1% do IRPJ devido ANTES ADCIONAL 10%</t>
  </si>
  <si>
    <t>LEI 12.213</t>
  </si>
  <si>
    <t>LEI DE INCENTIVO AO ESPORTE - LIE</t>
  </si>
  <si>
    <t>Objetiva principalmente incentivar o esporte de um modo geral.</t>
  </si>
  <si>
    <t>LEI 11.438</t>
  </si>
  <si>
    <t>Ativos</t>
  </si>
  <si>
    <t>Passivos</t>
  </si>
  <si>
    <t>Ativos circulantes</t>
  </si>
  <si>
    <t>Passivos circulantes</t>
  </si>
  <si>
    <t>Caixa e equivalentes de caixa</t>
  </si>
  <si>
    <t>Fornecedores</t>
  </si>
  <si>
    <t>Outras contas a receber (adiantamentos)</t>
  </si>
  <si>
    <t>Empréstimos e financiamentos</t>
  </si>
  <si>
    <t>Provisões trab/tribut</t>
  </si>
  <si>
    <t>Passivos não circulantes</t>
  </si>
  <si>
    <t>Investimentos</t>
  </si>
  <si>
    <t>Patrimônio líquido</t>
  </si>
  <si>
    <t>Contas a receber</t>
  </si>
  <si>
    <t>Títulos e valores mobiliários</t>
  </si>
  <si>
    <t>Impostos a compensar</t>
  </si>
  <si>
    <t>Imobilizado</t>
  </si>
  <si>
    <t>Ativo Permanente</t>
  </si>
  <si>
    <t>Dividendos</t>
  </si>
  <si>
    <t>Adiantamento de clientes</t>
  </si>
  <si>
    <t>Capital subscrito e integralizado</t>
  </si>
  <si>
    <t>Reserva de reavaliação</t>
  </si>
  <si>
    <t>Lucros/Prejuízos acumulados</t>
  </si>
  <si>
    <t>Lucro Real</t>
  </si>
  <si>
    <t>Reserva de lucros (reserva legal)</t>
  </si>
  <si>
    <t>Prejuízo Fiscal IRPJ</t>
  </si>
  <si>
    <t>Prejuízo Fiscal CSLL</t>
  </si>
  <si>
    <t>Contas a pagar</t>
  </si>
  <si>
    <t>Base das informações</t>
  </si>
  <si>
    <t>Excel: LALUR</t>
  </si>
  <si>
    <t>EMBRACON FRANCHISING LTDA</t>
  </si>
  <si>
    <t>Lucro Presumido</t>
  </si>
  <si>
    <t>Balanço</t>
  </si>
  <si>
    <t>Titulos e Valores Mobiliários</t>
  </si>
  <si>
    <t>Outros créditos</t>
  </si>
  <si>
    <t xml:space="preserve">Ativo não circulante </t>
  </si>
  <si>
    <t xml:space="preserve">Realizável a longo prazo - outros investimentos </t>
  </si>
  <si>
    <t>Fiscais e previdenciários</t>
  </si>
  <si>
    <t>Capital a integralizar</t>
  </si>
  <si>
    <t>Reseva de Lucros</t>
  </si>
  <si>
    <t/>
  </si>
  <si>
    <t>Caixa e equivalentes</t>
  </si>
  <si>
    <t>clientes</t>
  </si>
  <si>
    <t>adiantamentos</t>
  </si>
  <si>
    <t>Estoques</t>
  </si>
  <si>
    <t>Ações Judiciais</t>
  </si>
  <si>
    <t>Ativo não circulante</t>
  </si>
  <si>
    <t>Obrigações trib.</t>
  </si>
  <si>
    <t>Obrigações Trab.</t>
  </si>
  <si>
    <t>Previsão de adiantamento de clientes</t>
  </si>
  <si>
    <t xml:space="preserve">Reserva de lucros </t>
  </si>
  <si>
    <t>EMBRAFISA CONSUL. EMPRE. CORRE. DE SEGU. E EMPREEND. IMOB. LTDA</t>
  </si>
  <si>
    <t>Caixa e equivalente</t>
  </si>
  <si>
    <t>Titulos e valores mobiliarios</t>
  </si>
  <si>
    <t>Participação societárias</t>
  </si>
  <si>
    <t>Outros creditos</t>
  </si>
  <si>
    <t>Outros investimentos</t>
  </si>
  <si>
    <t>Fiscais e Previdenciarias</t>
  </si>
  <si>
    <t>Diversas</t>
  </si>
  <si>
    <t>Dividendos a pagar</t>
  </si>
  <si>
    <t>Reserva legal</t>
  </si>
  <si>
    <t>reserva de lucros</t>
  </si>
  <si>
    <t>Lucros/Prejuizos acumulados</t>
  </si>
  <si>
    <t>GSJ Balanço</t>
  </si>
  <si>
    <t xml:space="preserve">                         </t>
  </si>
  <si>
    <t>COMPANHIA GSJ DE PART.</t>
  </si>
  <si>
    <t>Cálculos tributários</t>
  </si>
  <si>
    <t>-</t>
  </si>
  <si>
    <t>Premissas econômicas</t>
  </si>
  <si>
    <t>21 de maio de 2025</t>
  </si>
  <si>
    <t xml:space="preserve">Patrimonio Liquido </t>
  </si>
  <si>
    <t>SAVIAN</t>
  </si>
  <si>
    <t>JVFJ</t>
  </si>
  <si>
    <t>EMBRACON</t>
  </si>
  <si>
    <t>Invest. Embracon</t>
  </si>
  <si>
    <t>Data-base dos balanços</t>
  </si>
  <si>
    <t>30.06.2026</t>
  </si>
  <si>
    <t>Unidade</t>
  </si>
  <si>
    <t>R$ milhões</t>
  </si>
  <si>
    <t>Participação das Partes CNP na incorporação (relação de troca)</t>
  </si>
  <si>
    <t>IRPJ/CSLL — ganho de capital PJ</t>
  </si>
  <si>
    <t>Informações Adicionais</t>
  </si>
  <si>
    <t>CNP (ações novas)</t>
  </si>
  <si>
    <t>CNPH</t>
  </si>
  <si>
    <t>Valor de Mercado CNPH</t>
  </si>
  <si>
    <t>Participação Societária (Embracon)</t>
  </si>
  <si>
    <t>Antes</t>
  </si>
  <si>
    <t>Após Inc</t>
  </si>
  <si>
    <t xml:space="preserve">(=) Total </t>
  </si>
  <si>
    <t>PL Embracon (pós inc)</t>
  </si>
  <si>
    <t>Embracon - Incorporação do Acervo</t>
  </si>
  <si>
    <t>Reflexo nas Holdings (MEP) - Custo de Investimento</t>
  </si>
  <si>
    <t>Custo Original (Investimento anterior)</t>
  </si>
  <si>
    <t>Total</t>
  </si>
  <si>
    <t>(+) Incorporação base</t>
  </si>
  <si>
    <t>(-) Diluição (13,8%)</t>
  </si>
  <si>
    <t>(=) Parcela liquida incorporada</t>
  </si>
  <si>
    <t>(=) Custo Incrementado</t>
  </si>
  <si>
    <t>Custo Original</t>
  </si>
  <si>
    <t>Acervo liquido incorporado</t>
  </si>
  <si>
    <t>Custo do Investimento Incrementado (Alternativa)</t>
  </si>
  <si>
    <t>2 x 463,75 -&gt;</t>
  </si>
  <si>
    <t>Lançamentos Contábeis (Holdings)</t>
  </si>
  <si>
    <t>Reflexo da Incorporação</t>
  </si>
  <si>
    <t>Débitos</t>
  </si>
  <si>
    <t>Crédito</t>
  </si>
  <si>
    <t>Perda de diluição</t>
  </si>
  <si>
    <t>(=) Efeito Líquido do Investimento</t>
  </si>
  <si>
    <t xml:space="preserve">SAVIAN </t>
  </si>
  <si>
    <t>1) Incorporação CNPH</t>
  </si>
  <si>
    <t xml:space="preserve">CNP </t>
  </si>
  <si>
    <t>Alienação total estimada</t>
  </si>
  <si>
    <t>Participação-alvo final das Partes na CNPH</t>
  </si>
  <si>
    <t xml:space="preserve">2) Cash-out - Simultânea </t>
  </si>
  <si>
    <t xml:space="preserve">Incorporação </t>
  </si>
  <si>
    <t>Percentual de Venda (Cash Out)</t>
  </si>
  <si>
    <t>(=) Total</t>
  </si>
  <si>
    <t>Pós Inc</t>
  </si>
  <si>
    <t>Venda (Cash-Out)</t>
  </si>
  <si>
    <t xml:space="preserve">Final </t>
  </si>
  <si>
    <t>Alteração na participação da Embracon</t>
  </si>
  <si>
    <t>Cenário B (incrementado)</t>
  </si>
  <si>
    <t>Cenário A (original)</t>
  </si>
  <si>
    <t>Item</t>
  </si>
  <si>
    <t>Preço (Cash-out)</t>
  </si>
  <si>
    <t>Valor estimado Cash-Out (Preço)</t>
  </si>
  <si>
    <t>Custo Total</t>
  </si>
  <si>
    <t>Por Holding</t>
  </si>
  <si>
    <t>Participação por holding pós inc</t>
  </si>
  <si>
    <t>Fração Alienada (Cash-Out)</t>
  </si>
  <si>
    <t xml:space="preserve">Custo Alocado </t>
  </si>
  <si>
    <t xml:space="preserve">Ganho de Capital </t>
  </si>
  <si>
    <t>IRPJ/CSLL (34%)</t>
  </si>
  <si>
    <t xml:space="preserve">Ganho Liquido </t>
  </si>
  <si>
    <t>Alíquota Efetiva (preço)</t>
  </si>
  <si>
    <t>Custo Remanescente</t>
  </si>
  <si>
    <t>Δ (Economia)</t>
  </si>
  <si>
    <t>Cálculo Ganho de Capital (Holdings)</t>
  </si>
  <si>
    <t xml:space="preserve">Total </t>
  </si>
  <si>
    <t>Cen A</t>
  </si>
  <si>
    <t>Cen B</t>
  </si>
  <si>
    <t>Segregação de Risco</t>
  </si>
  <si>
    <t>Informações</t>
  </si>
  <si>
    <t>PL Embracon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</si>
</sst>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\ ;&quot; (&quot;#,##0.00\);&quot; -&quot;#\ ;@\ "/>
    <numFmt numFmtId="165" formatCode="_-* #,##0.00_-;\-* #,##0.00_-;_-* \-??_-;_-@_-"/>
    <numFmt numFmtId="166" formatCode="_(* #,##0.00_);_(* \(#,##0.00\);_(* &quot;-&quot;??_);_(@_)"/>
    <numFmt numFmtId="168" formatCode="0.0%"/>
    <numFmt numFmtId="169" formatCode="#,##0.0"/>
    <numFmt numFmtId="176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Calibri"/>
      <family val="2"/>
    </font>
    <font>
      <i/>
      <sz val="11"/>
      <color theme="1"/>
      <name val="Aptos Narrow"/>
      <family val="2"/>
      <scheme val="minor"/>
    </font>
    <font>
      <i/>
      <sz val="20"/>
      <color theme="1"/>
      <name val="Aptos Narrow"/>
      <family val="2"/>
      <scheme val="minor"/>
    </font>
    <font>
      <b/>
      <sz val="28"/>
      <color rgb="FF40404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9" fontId="3" fillId="0" borderId="0"/>
    <xf numFmtId="165" fontId="2" fillId="0" borderId="0" applyFill="0" applyBorder="0" applyAlignment="0" applyProtection="0"/>
    <xf numFmtId="164" fontId="3" fillId="0" borderId="0"/>
    <xf numFmtId="9" fontId="2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13">
    <xf numFmtId="0" fontId="0" fillId="0" borderId="0" xfId="0"/>
    <xf numFmtId="0" fontId="8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quotePrefix="1" applyFont="1" applyAlignment="1">
      <alignment horizontal="center" vertical="center"/>
    </xf>
    <xf numFmtId="10" fontId="0" fillId="0" borderId="0" xfId="0" applyNumberFormat="1"/>
    <xf numFmtId="0" fontId="6" fillId="3" borderId="0" xfId="4" applyFont="1" applyFill="1" applyAlignment="1">
      <alignment horizontal="center" vertical="center" wrapText="1"/>
    </xf>
    <xf numFmtId="0" fontId="5" fillId="3" borderId="0" xfId="4" applyFont="1" applyFill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0" fontId="5" fillId="3" borderId="10" xfId="4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center" vertical="center" wrapText="1"/>
    </xf>
    <xf numFmtId="0" fontId="5" fillId="3" borderId="12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 wrapText="1"/>
    </xf>
    <xf numFmtId="0" fontId="5" fillId="3" borderId="15" xfId="4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0" fontId="5" fillId="3" borderId="17" xfId="4" applyFont="1" applyFill="1" applyBorder="1" applyAlignment="1">
      <alignment horizontal="center" vertical="center" wrapText="1"/>
    </xf>
    <xf numFmtId="0" fontId="5" fillId="3" borderId="18" xfId="4" applyFont="1" applyFill="1" applyBorder="1" applyAlignment="1">
      <alignment horizontal="center" vertical="center" wrapText="1"/>
    </xf>
    <xf numFmtId="44" fontId="7" fillId="5" borderId="0" xfId="0" applyNumberFormat="1" applyFont="1" applyFill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44" fontId="7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4" fontId="7" fillId="0" borderId="30" xfId="0" applyNumberFormat="1" applyFont="1" applyBorder="1" applyAlignment="1">
      <alignment horizontal="center" vertical="center"/>
    </xf>
    <xf numFmtId="0" fontId="6" fillId="3" borderId="19" xfId="4" applyFont="1" applyFill="1" applyBorder="1" applyAlignment="1">
      <alignment horizontal="center" vertical="center" wrapText="1"/>
    </xf>
    <xf numFmtId="0" fontId="6" fillId="3" borderId="6" xfId="4" applyFont="1" applyFill="1" applyBorder="1" applyAlignment="1">
      <alignment horizontal="center" vertical="center" wrapText="1"/>
    </xf>
    <xf numFmtId="0" fontId="5" fillId="3" borderId="9" xfId="4" applyFont="1" applyFill="1" applyBorder="1" applyAlignment="1">
      <alignment horizontal="center" vertical="center" wrapText="1"/>
    </xf>
    <xf numFmtId="0" fontId="5" fillId="3" borderId="11" xfId="4" applyFont="1" applyFill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 wrapText="1"/>
    </xf>
    <xf numFmtId="0" fontId="5" fillId="3" borderId="14" xfId="4" applyFont="1" applyFill="1" applyBorder="1" applyAlignment="1">
      <alignment horizontal="center" vertical="center" wrapText="1"/>
    </xf>
    <xf numFmtId="0" fontId="5" fillId="3" borderId="7" xfId="4" applyFont="1" applyFill="1" applyBorder="1" applyAlignment="1">
      <alignment horizontal="center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4" fontId="7" fillId="6" borderId="28" xfId="1" applyNumberFormat="1" applyFont="1" applyFill="1" applyBorder="1" applyAlignment="1">
      <alignment horizontal="center" vertical="center"/>
    </xf>
    <xf numFmtId="44" fontId="7" fillId="0" borderId="28" xfId="1" applyNumberFormat="1" applyFont="1" applyFill="1" applyBorder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4" fontId="7" fillId="5" borderId="28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4" fontId="7" fillId="0" borderId="30" xfId="1" applyNumberFormat="1" applyFont="1" applyFill="1" applyBorder="1" applyAlignment="1">
      <alignment horizontal="center" vertical="center"/>
    </xf>
    <xf numFmtId="44" fontId="7" fillId="0" borderId="0" xfId="1" applyNumberFormat="1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/>
    </xf>
    <xf numFmtId="0" fontId="9" fillId="3" borderId="17" xfId="4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44" fontId="7" fillId="5" borderId="30" xfId="1" applyNumberFormat="1" applyFont="1" applyFill="1" applyBorder="1" applyAlignment="1">
      <alignment horizontal="center" vertical="center"/>
    </xf>
    <xf numFmtId="44" fontId="7" fillId="4" borderId="23" xfId="1" applyNumberFormat="1" applyFont="1" applyFill="1" applyBorder="1" applyAlignment="1">
      <alignment horizontal="center" vertical="center"/>
    </xf>
    <xf numFmtId="44" fontId="7" fillId="5" borderId="30" xfId="0" applyNumberFormat="1" applyFont="1" applyFill="1" applyBorder="1" applyAlignment="1">
      <alignment horizontal="center" vertical="center"/>
    </xf>
    <xf numFmtId="44" fontId="7" fillId="6" borderId="30" xfId="1" applyNumberFormat="1" applyFont="1" applyFill="1" applyBorder="1" applyAlignment="1">
      <alignment horizontal="center" vertical="center"/>
    </xf>
    <xf numFmtId="44" fontId="7" fillId="6" borderId="23" xfId="1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4" fontId="7" fillId="5" borderId="28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44" fontId="5" fillId="3" borderId="0" xfId="4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4" fontId="5" fillId="3" borderId="0" xfId="0" applyNumberFormat="1" applyFont="1" applyFill="1" applyAlignment="1" applyProtection="1">
      <alignment horizontal="center" vertical="center"/>
      <protection locked="0"/>
    </xf>
    <xf numFmtId="44" fontId="7" fillId="3" borderId="0" xfId="0" applyNumberFormat="1" applyFont="1" applyFill="1" applyAlignment="1">
      <alignment horizontal="center" vertical="center"/>
    </xf>
    <xf numFmtId="0" fontId="7" fillId="6" borderId="27" xfId="0" quotePrefix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44" fontId="5" fillId="2" borderId="26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>
      <alignment horizontal="center" vertical="center"/>
    </xf>
    <xf numFmtId="44" fontId="5" fillId="2" borderId="30" xfId="0" applyNumberFormat="1" applyFont="1" applyFill="1" applyBorder="1" applyAlignment="1" applyProtection="1">
      <alignment horizontal="center" vertical="center"/>
      <protection locked="0"/>
    </xf>
    <xf numFmtId="0" fontId="8" fillId="0" borderId="21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44" fontId="7" fillId="5" borderId="23" xfId="1" applyNumberFormat="1" applyFont="1" applyFill="1" applyBorder="1" applyAlignment="1">
      <alignment horizontal="center" vertical="center"/>
    </xf>
    <xf numFmtId="0" fontId="7" fillId="5" borderId="27" xfId="0" quotePrefix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44" fontId="7" fillId="7" borderId="23" xfId="1" applyNumberFormat="1" applyFont="1" applyFill="1" applyBorder="1" applyAlignment="1">
      <alignment horizontal="center" vertical="center"/>
    </xf>
    <xf numFmtId="44" fontId="7" fillId="6" borderId="26" xfId="1" applyNumberFormat="1" applyFont="1" applyFill="1" applyBorder="1" applyAlignment="1">
      <alignment horizontal="center" vertical="center"/>
    </xf>
    <xf numFmtId="44" fontId="7" fillId="5" borderId="26" xfId="1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44" fontId="7" fillId="5" borderId="0" xfId="1" applyNumberFormat="1" applyFont="1" applyFill="1" applyBorder="1" applyAlignment="1">
      <alignment horizontal="center" vertical="center"/>
    </xf>
    <xf numFmtId="44" fontId="7" fillId="5" borderId="23" xfId="0" applyNumberFormat="1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6" borderId="29" xfId="0" quotePrefix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6" borderId="27" xfId="0" quotePrefix="1" applyFont="1" applyFill="1" applyBorder="1" applyAlignment="1">
      <alignment horizontal="center" vertical="center"/>
    </xf>
    <xf numFmtId="0" fontId="8" fillId="6" borderId="0" xfId="0" quotePrefix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66" fontId="11" fillId="8" borderId="22" xfId="1" applyNumberFormat="1" applyFont="1" applyFill="1" applyBorder="1" applyAlignment="1">
      <alignment horizontal="center" vertical="center"/>
    </xf>
    <xf numFmtId="14" fontId="11" fillId="8" borderId="23" xfId="1" applyNumberFormat="1" applyFont="1" applyFill="1" applyBorder="1" applyAlignment="1">
      <alignment horizontal="center" vertical="center"/>
    </xf>
    <xf numFmtId="166" fontId="11" fillId="8" borderId="21" xfId="1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readingOrder="1"/>
    </xf>
    <xf numFmtId="0" fontId="7" fillId="0" borderId="27" xfId="0" applyFont="1" applyBorder="1" applyAlignment="1">
      <alignment horizontal="center" vertical="center"/>
    </xf>
    <xf numFmtId="0" fontId="7" fillId="0" borderId="27" xfId="0" quotePrefix="1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0" fillId="0" borderId="20" xfId="0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0" xfId="0" applyFont="1"/>
    <xf numFmtId="0" fontId="12" fillId="3" borderId="0" xfId="0" applyFont="1" applyFill="1"/>
    <xf numFmtId="168" fontId="0" fillId="0" borderId="0" xfId="0" applyNumberFormat="1"/>
    <xf numFmtId="168" fontId="12" fillId="0" borderId="0" xfId="0" applyNumberFormat="1" applyFont="1"/>
    <xf numFmtId="168" fontId="12" fillId="0" borderId="20" xfId="0" applyNumberFormat="1" applyFont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9" fontId="0" fillId="0" borderId="0" xfId="10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9" fontId="12" fillId="0" borderId="0" xfId="10" applyNumberFormat="1" applyFont="1"/>
    <xf numFmtId="168" fontId="16" fillId="0" borderId="0" xfId="0" applyNumberFormat="1" applyFont="1"/>
    <xf numFmtId="168" fontId="15" fillId="0" borderId="0" xfId="0" applyNumberFormat="1" applyFont="1"/>
    <xf numFmtId="0" fontId="0" fillId="0" borderId="0" xfId="0" applyFont="1" applyFill="1"/>
    <xf numFmtId="0" fontId="15" fillId="0" borderId="25" xfId="0" applyFont="1" applyBorder="1"/>
    <xf numFmtId="0" fontId="16" fillId="6" borderId="25" xfId="0" applyFont="1" applyFill="1" applyBorder="1"/>
    <xf numFmtId="9" fontId="16" fillId="6" borderId="25" xfId="0" applyNumberFormat="1" applyFont="1" applyFill="1" applyBorder="1"/>
    <xf numFmtId="0" fontId="15" fillId="0" borderId="0" xfId="0" applyFont="1"/>
    <xf numFmtId="0" fontId="16" fillId="0" borderId="0" xfId="0" applyFont="1"/>
    <xf numFmtId="0" fontId="16" fillId="6" borderId="22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0" fillId="0" borderId="0" xfId="0" applyNumberFormat="1"/>
    <xf numFmtId="164" fontId="17" fillId="0" borderId="0" xfId="0" applyNumberFormat="1" applyFont="1" applyAlignment="1">
      <alignment horizontal="right" vertical="center"/>
    </xf>
    <xf numFmtId="0" fontId="12" fillId="0" borderId="28" xfId="0" applyFont="1" applyBorder="1"/>
    <xf numFmtId="164" fontId="18" fillId="0" borderId="0" xfId="0" applyNumberFormat="1" applyFont="1"/>
    <xf numFmtId="164" fontId="18" fillId="0" borderId="28" xfId="0" applyNumberFormat="1" applyFont="1" applyBorder="1"/>
    <xf numFmtId="0" fontId="0" fillId="6" borderId="22" xfId="0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28" xfId="0" applyFont="1" applyBorder="1"/>
    <xf numFmtId="0" fontId="15" fillId="0" borderId="0" xfId="0" applyFont="1" applyAlignment="1">
      <alignment horizontal="right" vertical="center"/>
    </xf>
    <xf numFmtId="0" fontId="15" fillId="0" borderId="20" xfId="0" applyFont="1" applyBorder="1" applyAlignment="1">
      <alignment horizontal="left" vertical="center"/>
    </xf>
    <xf numFmtId="4" fontId="15" fillId="0" borderId="20" xfId="0" applyNumberFormat="1" applyFont="1" applyBorder="1"/>
    <xf numFmtId="4" fontId="15" fillId="0" borderId="30" xfId="0" applyNumberFormat="1" applyFont="1" applyBorder="1"/>
    <xf numFmtId="0" fontId="12" fillId="0" borderId="2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4" fontId="15" fillId="0" borderId="0" xfId="0" applyNumberFormat="1" applyFont="1" applyBorder="1"/>
    <xf numFmtId="0" fontId="15" fillId="0" borderId="25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5" fillId="0" borderId="25" xfId="0" applyNumberFormat="1" applyFont="1" applyBorder="1" applyAlignment="1">
      <alignment vertical="center"/>
    </xf>
    <xf numFmtId="0" fontId="15" fillId="6" borderId="22" xfId="0" applyFont="1" applyFill="1" applyBorder="1" applyAlignment="1">
      <alignment horizontal="left" vertical="center"/>
    </xf>
    <xf numFmtId="4" fontId="15" fillId="6" borderId="22" xfId="0" applyNumberFormat="1" applyFont="1" applyFill="1" applyBorder="1" applyAlignment="1">
      <alignment vertical="center"/>
    </xf>
    <xf numFmtId="4" fontId="12" fillId="0" borderId="20" xfId="0" applyNumberFormat="1" applyFont="1" applyBorder="1" applyAlignment="1">
      <alignment horizontal="right" vertical="center"/>
    </xf>
    <xf numFmtId="0" fontId="15" fillId="0" borderId="0" xfId="0" applyFont="1" applyBorder="1" applyAlignment="1"/>
    <xf numFmtId="0" fontId="0" fillId="0" borderId="0" xfId="0" applyBorder="1"/>
    <xf numFmtId="164" fontId="12" fillId="0" borderId="0" xfId="0" applyNumberFormat="1" applyFont="1"/>
    <xf numFmtId="0" fontId="15" fillId="0" borderId="25" xfId="0" applyFont="1" applyBorder="1" applyAlignment="1">
      <alignment horizontal="center"/>
    </xf>
    <xf numFmtId="0" fontId="15" fillId="0" borderId="0" xfId="0" applyFont="1" applyBorder="1" applyAlignment="1">
      <alignment horizontal="left" vertical="center"/>
    </xf>
    <xf numFmtId="0" fontId="0" fillId="6" borderId="22" xfId="0" applyFill="1" applyBorder="1"/>
    <xf numFmtId="9" fontId="12" fillId="3" borderId="0" xfId="10" applyFont="1" applyFill="1"/>
    <xf numFmtId="0" fontId="15" fillId="6" borderId="0" xfId="0" applyFont="1" applyFill="1"/>
    <xf numFmtId="0" fontId="12" fillId="3" borderId="0" xfId="0" applyFont="1" applyFill="1" applyBorder="1"/>
    <xf numFmtId="3" fontId="15" fillId="0" borderId="0" xfId="0" applyNumberFormat="1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8" fontId="12" fillId="0" borderId="0" xfId="0" applyNumberFormat="1" applyFont="1" applyAlignment="1">
      <alignment vertical="center"/>
    </xf>
    <xf numFmtId="168" fontId="15" fillId="0" borderId="25" xfId="0" applyNumberFormat="1" applyFont="1" applyBorder="1"/>
    <xf numFmtId="168" fontId="15" fillId="0" borderId="25" xfId="0" applyNumberFormat="1" applyFont="1" applyBorder="1" applyAlignment="1">
      <alignment horizontal="center"/>
    </xf>
    <xf numFmtId="168" fontId="12" fillId="0" borderId="0" xfId="1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8" fontId="15" fillId="0" borderId="0" xfId="0" applyNumberFormat="1" applyFont="1" applyBorder="1"/>
    <xf numFmtId="0" fontId="12" fillId="0" borderId="22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168" fontId="16" fillId="0" borderId="22" xfId="0" applyNumberFormat="1" applyFont="1" applyBorder="1" applyAlignment="1">
      <alignment vertical="center"/>
    </xf>
    <xf numFmtId="168" fontId="12" fillId="0" borderId="22" xfId="0" applyNumberFormat="1" applyFont="1" applyBorder="1"/>
    <xf numFmtId="0" fontId="16" fillId="6" borderId="25" xfId="0" applyFont="1" applyFill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168" fontId="16" fillId="0" borderId="25" xfId="0" applyNumberFormat="1" applyFont="1" applyBorder="1" applyAlignment="1">
      <alignment vertical="center"/>
    </xf>
    <xf numFmtId="0" fontId="0" fillId="6" borderId="0" xfId="0" applyFill="1" applyAlignment="1">
      <alignment horizontal="center" vertical="center"/>
    </xf>
    <xf numFmtId="176" fontId="15" fillId="0" borderId="0" xfId="0" applyNumberFormat="1" applyFont="1" applyAlignment="1">
      <alignment horizontal="center"/>
    </xf>
    <xf numFmtId="0" fontId="12" fillId="0" borderId="0" xfId="0" applyFont="1" applyAlignment="1">
      <alignment wrapText="1"/>
    </xf>
    <xf numFmtId="176" fontId="12" fillId="0" borderId="0" xfId="0" applyNumberFormat="1" applyFont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/>
    </xf>
    <xf numFmtId="0" fontId="15" fillId="0" borderId="22" xfId="0" applyFont="1" applyBorder="1"/>
    <xf numFmtId="176" fontId="15" fillId="0" borderId="22" xfId="0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176" fontId="0" fillId="0" borderId="0" xfId="0" applyNumberFormat="1"/>
    <xf numFmtId="176" fontId="15" fillId="0" borderId="0" xfId="0" applyNumberFormat="1" applyFont="1"/>
    <xf numFmtId="0" fontId="16" fillId="6" borderId="31" xfId="0" applyFont="1" applyFill="1" applyBorder="1" applyAlignment="1">
      <alignment horizontal="center" vertical="center"/>
    </xf>
    <xf numFmtId="176" fontId="16" fillId="6" borderId="31" xfId="0" applyNumberFormat="1" applyFont="1" applyFill="1" applyBorder="1" applyAlignment="1">
      <alignment horizontal="right" vertical="center"/>
    </xf>
    <xf numFmtId="168" fontId="16" fillId="6" borderId="31" xfId="0" applyNumberFormat="1" applyFont="1" applyFill="1" applyBorder="1" applyAlignment="1">
      <alignment horizontal="right" vertical="center"/>
    </xf>
    <xf numFmtId="0" fontId="16" fillId="6" borderId="31" xfId="0" applyFont="1" applyFill="1" applyBorder="1" applyAlignment="1">
      <alignment horizontal="right" vertical="center"/>
    </xf>
    <xf numFmtId="169" fontId="16" fillId="6" borderId="31" xfId="0" applyNumberFormat="1" applyFont="1" applyFill="1" applyBorder="1" applyAlignment="1">
      <alignment horizontal="right" vertical="center"/>
    </xf>
    <xf numFmtId="169" fontId="15" fillId="0" borderId="0" xfId="0" applyNumberFormat="1" applyFont="1" applyAlignment="1">
      <alignment horizontal="center"/>
    </xf>
    <xf numFmtId="0" fontId="0" fillId="3" borderId="0" xfId="0" applyFill="1" applyBorder="1"/>
    <xf numFmtId="0" fontId="0" fillId="6" borderId="20" xfId="0" applyFill="1" applyBorder="1"/>
    <xf numFmtId="0" fontId="0" fillId="6" borderId="20" xfId="0" applyFill="1" applyBorder="1" applyAlignment="1">
      <alignment horizontal="center"/>
    </xf>
    <xf numFmtId="0" fontId="19" fillId="9" borderId="22" xfId="0" applyFont="1" applyFill="1" applyBorder="1" applyAlignment="1">
      <alignment horizontal="left" vertical="center"/>
    </xf>
    <xf numFmtId="176" fontId="15" fillId="0" borderId="22" xfId="0" applyNumberFormat="1" applyFont="1" applyBorder="1"/>
    <xf numFmtId="1" fontId="15" fillId="0" borderId="25" xfId="0" applyNumberFormat="1" applyFont="1" applyBorder="1"/>
    <xf numFmtId="176" fontId="15" fillId="6" borderId="31" xfId="0" applyNumberFormat="1" applyFont="1" applyFill="1" applyBorder="1"/>
    <xf numFmtId="168" fontId="15" fillId="6" borderId="31" xfId="0" applyNumberFormat="1" applyFont="1" applyFill="1" applyBorder="1"/>
    <xf numFmtId="0" fontId="15" fillId="6" borderId="31" xfId="0" applyFont="1" applyFill="1" applyBorder="1"/>
    <xf numFmtId="0" fontId="0" fillId="6" borderId="20" xfId="0" applyFill="1" applyBorder="1" applyAlignment="1">
      <alignment horizontal="center" vertical="center"/>
    </xf>
  </cellXfs>
  <cellStyles count="12">
    <cellStyle name="Comma" xfId="1" builtinId="3"/>
    <cellStyle name="Excel Built-in Normal" xfId="3" xr:uid="{001729F4-5ACC-4104-A653-55471EC159A8}"/>
    <cellStyle name="Normal" xfId="0" builtinId="0"/>
    <cellStyle name="Normal 10 17" xfId="4" xr:uid="{5B315352-6F17-456B-82B0-65B44BC55EFF}"/>
    <cellStyle name="Normal 2" xfId="2" xr:uid="{6D36085F-648D-43A8-AB1A-88508A194879}"/>
    <cellStyle name="Percent" xfId="10" builtinId="5"/>
    <cellStyle name="Porcentagem 2" xfId="5" xr:uid="{A9A3947E-7A61-4108-8C10-682F9B9FB178}"/>
    <cellStyle name="Porcentagem 3" xfId="8" xr:uid="{C1FCFC8C-8169-485B-82C0-0308CFB08979}"/>
    <cellStyle name="TableStyleLight1" xfId="9" xr:uid="{C78E8FE4-804C-4B1C-906E-C59D6C8CDCFD}"/>
    <cellStyle name="Vírgula 12" xfId="7" xr:uid="{B2194CD6-509D-462D-AD25-EB094A3771E3}"/>
    <cellStyle name="Vírgula 2" xfId="6" xr:uid="{8F9DFE5A-2819-42F0-81B1-2AB9FDA076A1}"/>
    <cellStyle name="Vírgula 3" xfId="11" xr:uid="{A73EE5A9-755B-491E-A699-58F7F7D0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189699</xdr:colOff>
      <xdr:row>0</xdr:row>
      <xdr:rowOff>149680</xdr:rowOff>
    </xdr:from>
    <xdr:to>
      <xdr:col>20</xdr:col>
      <xdr:colOff>431745</xdr:colOff>
      <xdr:row>28</xdr:row>
      <xdr:rowOff>22772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D1BD29-7CAF-23CB-CCBE-8F606667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699" y="149680"/>
          <a:ext cx="14650773" cy="5045456"/>
        </a:xfrm>
        <a:prstGeom prst="rect">
          <a:avLst/>
        </a:prstGeom>
      </xdr:spPr>
    </xdr:pic>
    <xdr:clientData/>
  </xdr:twoCellAnchor>
  <xdr:twoCellAnchor editAs="oneCell">
    <xdr:from>
      <xdr:col>0</xdr:col>
      <xdr:colOff>96050</xdr:colOff>
      <xdr:row>28</xdr:row>
      <xdr:rowOff>54429</xdr:rowOff>
    </xdr:from>
    <xdr:to>
      <xdr:col>20</xdr:col>
      <xdr:colOff>420574</xdr:colOff>
      <xdr:row>57</xdr:row>
      <xdr:rowOff>161895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2AC607-49BF-5C2A-0B7C-856B7496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50" y="5388429"/>
          <a:ext cx="14455142" cy="5630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145908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9320E59F-F1FC-4219-BBFE-B9C6BAF5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29" y="512797"/>
          <a:ext cx="2828149" cy="64819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596900</xdr:colOff>
      <xdr:row>1</xdr:row>
      <xdr:rowOff>177800</xdr:rowOff>
    </xdr:from>
    <xdr:ext cx="2828149" cy="648190"/>
    <xdr:pic>
      <xdr:nvPicPr>
        <xdr:cNvPr id="2" name="Imagem 1">
          <a:extLst>
            <a:ext uri="{FF2B5EF4-FFF2-40B4-BE49-F238E27FC236}">
              <a16:creationId xmlns:a16="http://schemas.microsoft.com/office/drawing/2014/main" id="{EE33DAB4-AF20-4113-A50E-05B55628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361950"/>
          <a:ext cx="2828149" cy="6481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2004458</xdr:colOff>
      <xdr:row>47</xdr:row>
      <xdr:rowOff>123317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9D942E-5CF8-02DD-9745-DC34191E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3" y="2650435"/>
          <a:ext cx="9383434" cy="5258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D8A-FBE8-4539-94FA-585B4DCA3EA5}">
  <dimension ref="C2"/>
  <sheetViews>
    <sheetView showGridLines="0" tabSelected="1" zoomScale="70" zoomScaleNormal="70" workbookViewId="0">
      <selection activeCell="Z46" sqref="Z46"/>
    </sheetView>
  </sheetViews>
  <sheetFormatPr defaultColWidth="8.81640625" defaultRowHeight="14.5" x14ac:dyDescent="0.35"/>
  <cols>
    <col min="3" max="3" width="16.453125" customWidth="1"/>
    <col min="4" max="4" width="32" bestFit="1" customWidth="1"/>
  </cols>
  <sheetData>
    <row r="2" spans="3:3" x14ac:dyDescent="0.35">
      <c r="C2" s="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7449-9A87-47F1-8BBE-D97626856162}">
  <dimension ref="B4:K89"/>
  <sheetViews>
    <sheetView showGridLines="0" zoomScale="90" zoomScaleNormal="90" workbookViewId="0">
      <selection activeCell="E12" sqref="E12:I17"/>
    </sheetView>
  </sheetViews>
  <sheetFormatPr defaultColWidth="8.90625" defaultRowHeight="14.5" x14ac:dyDescent="0.35"/>
  <cols>
    <col min="1" max="1" width="7.54296875" customWidth="1"/>
    <col min="2" max="2" width="22.7265625" customWidth="1"/>
    <col min="3" max="3" width="10.54296875" customWidth="1"/>
    <col min="4" max="4" width="11.1796875" bestFit="1" customWidth="1"/>
    <col min="5" max="5" width="12.26953125" customWidth="1"/>
    <col min="6" max="6" width="11" customWidth="1"/>
    <col min="7" max="7" width="12.7265625" customWidth="1"/>
    <col min="8" max="8" width="20.81640625" customWidth="1"/>
    <col min="9" max="9" width="10.81640625" bestFit="1" customWidth="1"/>
    <col min="10" max="10" width="8.6328125" customWidth="1"/>
    <col min="11" max="11" width="12.6328125" bestFit="1" customWidth="1"/>
  </cols>
  <sheetData>
    <row r="4" spans="2:11" ht="26" x14ac:dyDescent="0.6">
      <c r="G4" s="103" t="s">
        <v>95</v>
      </c>
    </row>
    <row r="5" spans="2:11" x14ac:dyDescent="0.35">
      <c r="G5" s="102" t="s">
        <v>98</v>
      </c>
    </row>
    <row r="9" spans="2:11" x14ac:dyDescent="0.35">
      <c r="C9" s="108"/>
      <c r="D9" s="108"/>
      <c r="E9" s="108"/>
      <c r="F9" s="108"/>
      <c r="G9" s="108"/>
    </row>
    <row r="10" spans="2:11" ht="18.5" x14ac:dyDescent="0.35">
      <c r="B10" s="206" t="s">
        <v>97</v>
      </c>
      <c r="C10" s="206"/>
      <c r="D10" s="206"/>
      <c r="E10" s="206"/>
      <c r="F10" s="206"/>
      <c r="G10" s="206"/>
      <c r="H10" s="206"/>
      <c r="I10" s="206"/>
      <c r="J10" s="206"/>
      <c r="K10" s="206"/>
    </row>
    <row r="11" spans="2:11" ht="16" customHeight="1" x14ac:dyDescent="0.35">
      <c r="B11" s="104"/>
    </row>
    <row r="12" spans="2:11" x14ac:dyDescent="0.35">
      <c r="B12" s="111" t="s">
        <v>99</v>
      </c>
      <c r="C12" s="111"/>
      <c r="E12" s="111" t="s">
        <v>110</v>
      </c>
      <c r="F12" s="111"/>
      <c r="G12" s="111"/>
      <c r="H12" s="111"/>
      <c r="I12" s="111"/>
    </row>
    <row r="13" spans="2:11" x14ac:dyDescent="0.35">
      <c r="B13" s="168" t="s">
        <v>100</v>
      </c>
      <c r="C13" s="168">
        <v>127</v>
      </c>
      <c r="E13" s="102" t="s">
        <v>104</v>
      </c>
      <c r="I13" s="137" t="s">
        <v>105</v>
      </c>
    </row>
    <row r="14" spans="2:11" x14ac:dyDescent="0.35">
      <c r="B14" s="113" t="s">
        <v>103</v>
      </c>
      <c r="C14" s="113">
        <v>127</v>
      </c>
      <c r="E14" s="102" t="s">
        <v>106</v>
      </c>
      <c r="I14" s="137" t="s">
        <v>107</v>
      </c>
    </row>
    <row r="15" spans="2:11" x14ac:dyDescent="0.35">
      <c r="B15" s="102"/>
      <c r="C15" s="102"/>
      <c r="E15" s="134" t="s">
        <v>108</v>
      </c>
      <c r="F15" s="134"/>
      <c r="G15" s="134"/>
      <c r="H15" s="134"/>
      <c r="I15" s="115">
        <v>0.13800000000000001</v>
      </c>
    </row>
    <row r="16" spans="2:11" x14ac:dyDescent="0.35">
      <c r="B16" s="168" t="s">
        <v>101</v>
      </c>
      <c r="C16" s="168">
        <v>127</v>
      </c>
      <c r="E16" s="102" t="s">
        <v>141</v>
      </c>
      <c r="I16" s="115">
        <v>0.4</v>
      </c>
    </row>
    <row r="17" spans="2:11" x14ac:dyDescent="0.35">
      <c r="B17" s="102" t="s">
        <v>103</v>
      </c>
      <c r="C17" s="102">
        <v>127</v>
      </c>
      <c r="E17" s="136" t="s">
        <v>109</v>
      </c>
      <c r="F17" s="136"/>
      <c r="G17" s="136"/>
      <c r="H17" s="136"/>
      <c r="I17" s="116">
        <v>0.34</v>
      </c>
    </row>
    <row r="18" spans="2:11" ht="8.5" customHeight="1" x14ac:dyDescent="0.35">
      <c r="B18" s="102"/>
      <c r="C18" s="102"/>
    </row>
    <row r="19" spans="2:11" x14ac:dyDescent="0.35">
      <c r="B19" s="168" t="s">
        <v>102</v>
      </c>
      <c r="C19" s="168">
        <v>254</v>
      </c>
    </row>
    <row r="20" spans="2:11" x14ac:dyDescent="0.35">
      <c r="B20" s="113" t="s">
        <v>137</v>
      </c>
      <c r="C20" s="167">
        <f>C16/C19</f>
        <v>0.5</v>
      </c>
    </row>
    <row r="21" spans="2:11" x14ac:dyDescent="0.35">
      <c r="B21" s="113" t="s">
        <v>101</v>
      </c>
      <c r="C21" s="167">
        <f>C16/C19</f>
        <v>0.5</v>
      </c>
    </row>
    <row r="22" spans="2:11" x14ac:dyDescent="0.35">
      <c r="B22" s="102"/>
      <c r="C22" s="102"/>
    </row>
    <row r="23" spans="2:11" x14ac:dyDescent="0.35">
      <c r="B23" s="168" t="s">
        <v>112</v>
      </c>
      <c r="C23" s="168">
        <v>800</v>
      </c>
    </row>
    <row r="24" spans="2:11" x14ac:dyDescent="0.35">
      <c r="B24" s="102" t="s">
        <v>113</v>
      </c>
      <c r="C24" s="102">
        <v>822</v>
      </c>
    </row>
    <row r="26" spans="2:11" ht="18.5" x14ac:dyDescent="0.35">
      <c r="B26" s="206" t="s">
        <v>138</v>
      </c>
      <c r="C26" s="206"/>
      <c r="D26" s="206"/>
      <c r="E26" s="206"/>
      <c r="F26" s="206"/>
      <c r="G26" s="206"/>
      <c r="H26" s="206"/>
      <c r="I26" s="206"/>
      <c r="J26" s="206"/>
      <c r="K26" s="206"/>
    </row>
    <row r="28" spans="2:11" x14ac:dyDescent="0.35">
      <c r="B28" s="111" t="s">
        <v>114</v>
      </c>
      <c r="C28" s="111"/>
      <c r="D28" s="111"/>
    </row>
    <row r="29" spans="2:11" x14ac:dyDescent="0.35">
      <c r="B29" s="120"/>
      <c r="C29" s="121" t="s">
        <v>115</v>
      </c>
      <c r="D29" s="122" t="s">
        <v>116</v>
      </c>
    </row>
    <row r="30" spans="2:11" x14ac:dyDescent="0.35">
      <c r="B30" s="102" t="s">
        <v>100</v>
      </c>
      <c r="C30" s="123">
        <v>0.5</v>
      </c>
      <c r="D30" s="124">
        <f>C30*(1-I15)</f>
        <v>0.43099999999999999</v>
      </c>
    </row>
    <row r="31" spans="2:11" x14ac:dyDescent="0.35">
      <c r="B31" s="102" t="s">
        <v>101</v>
      </c>
      <c r="C31" s="123">
        <v>0.5</v>
      </c>
      <c r="D31" s="124">
        <f>C31*(1-I15)</f>
        <v>0.43099999999999999</v>
      </c>
    </row>
    <row r="32" spans="2:11" x14ac:dyDescent="0.35">
      <c r="B32" t="s">
        <v>111</v>
      </c>
      <c r="C32" s="118" t="s">
        <v>96</v>
      </c>
      <c r="D32" s="125">
        <f>I15</f>
        <v>0.13800000000000001</v>
      </c>
    </row>
    <row r="33" spans="2:10" x14ac:dyDescent="0.35">
      <c r="D33" s="174">
        <f>SUM(D30:D32)</f>
        <v>1</v>
      </c>
    </row>
    <row r="34" spans="2:10" x14ac:dyDescent="0.35">
      <c r="D34" s="178"/>
    </row>
    <row r="35" spans="2:10" x14ac:dyDescent="0.35">
      <c r="B35" s="111" t="s">
        <v>119</v>
      </c>
      <c r="C35" s="111"/>
      <c r="D35" s="111"/>
    </row>
    <row r="36" spans="2:10" x14ac:dyDescent="0.35">
      <c r="B36" s="126" t="s">
        <v>102</v>
      </c>
      <c r="C36" s="112">
        <f>C19</f>
        <v>254</v>
      </c>
      <c r="D36" s="119">
        <f>C36/C$38</f>
        <v>0.23605947955390336</v>
      </c>
    </row>
    <row r="37" spans="2:10" x14ac:dyDescent="0.35">
      <c r="B37" s="126" t="s">
        <v>112</v>
      </c>
      <c r="C37" s="112">
        <f>C24</f>
        <v>822</v>
      </c>
      <c r="D37" s="119">
        <f>C37/C$38</f>
        <v>0.76394052044609662</v>
      </c>
    </row>
    <row r="38" spans="2:10" x14ac:dyDescent="0.35">
      <c r="B38" s="128" t="s">
        <v>117</v>
      </c>
      <c r="C38" s="128">
        <f>C36+C37</f>
        <v>1076</v>
      </c>
      <c r="D38" s="129">
        <f>D36+D37</f>
        <v>1</v>
      </c>
    </row>
    <row r="40" spans="2:10" x14ac:dyDescent="0.35">
      <c r="B40" s="132" t="s">
        <v>118</v>
      </c>
      <c r="C40" s="132">
        <f>C41+C42+C43</f>
        <v>1076</v>
      </c>
    </row>
    <row r="41" spans="2:10" x14ac:dyDescent="0.35">
      <c r="B41" s="102" t="s">
        <v>100</v>
      </c>
      <c r="C41" s="169">
        <f>D30*C38</f>
        <v>463.75599999999997</v>
      </c>
    </row>
    <row r="42" spans="2:10" x14ac:dyDescent="0.35">
      <c r="B42" s="102" t="s">
        <v>101</v>
      </c>
      <c r="C42" s="169">
        <f>D31*C38</f>
        <v>463.75599999999997</v>
      </c>
    </row>
    <row r="43" spans="2:10" x14ac:dyDescent="0.35">
      <c r="B43" s="102" t="s">
        <v>139</v>
      </c>
      <c r="C43" s="169">
        <f>D32*C38</f>
        <v>148.488</v>
      </c>
    </row>
    <row r="45" spans="2:10" x14ac:dyDescent="0.35">
      <c r="B45" s="111" t="s">
        <v>120</v>
      </c>
      <c r="C45" s="111"/>
      <c r="D45" s="111"/>
      <c r="E45" s="111"/>
      <c r="F45" s="111"/>
      <c r="H45" s="111" t="s">
        <v>131</v>
      </c>
      <c r="I45" s="111"/>
      <c r="J45" s="111"/>
    </row>
    <row r="46" spans="2:10" x14ac:dyDescent="0.35">
      <c r="B46" s="143"/>
      <c r="C46" s="143"/>
      <c r="D46" s="144" t="s">
        <v>100</v>
      </c>
      <c r="E46" s="144" t="s">
        <v>101</v>
      </c>
      <c r="F46" s="145" t="s">
        <v>122</v>
      </c>
      <c r="H46" s="166"/>
      <c r="I46" s="144" t="s">
        <v>133</v>
      </c>
      <c r="J46" s="144" t="s">
        <v>134</v>
      </c>
    </row>
    <row r="47" spans="2:10" x14ac:dyDescent="0.35">
      <c r="B47" s="146" t="s">
        <v>121</v>
      </c>
      <c r="C47" s="146"/>
      <c r="D47" s="130">
        <f>C14</f>
        <v>127</v>
      </c>
      <c r="E47" s="147">
        <f>C14</f>
        <v>127</v>
      </c>
      <c r="F47" s="148">
        <f>D47+E47</f>
        <v>254</v>
      </c>
      <c r="H47" s="102" t="s">
        <v>132</v>
      </c>
      <c r="I47" s="140">
        <f>D48</f>
        <v>411</v>
      </c>
      <c r="J47" s="102"/>
    </row>
    <row r="48" spans="2:10" x14ac:dyDescent="0.35">
      <c r="B48" s="134" t="s">
        <v>123</v>
      </c>
      <c r="C48" s="134"/>
      <c r="D48" s="102">
        <f>C37/2</f>
        <v>411</v>
      </c>
      <c r="E48" s="140">
        <f>C37/2</f>
        <v>411</v>
      </c>
      <c r="F48" s="117">
        <f>D48+E48</f>
        <v>822</v>
      </c>
      <c r="H48" s="102" t="s">
        <v>135</v>
      </c>
      <c r="I48" s="140"/>
      <c r="J48" s="163">
        <f>D49</f>
        <v>-74.244</v>
      </c>
    </row>
    <row r="49" spans="2:11" x14ac:dyDescent="0.35">
      <c r="B49" s="134" t="s">
        <v>124</v>
      </c>
      <c r="C49" s="134"/>
      <c r="D49" s="141">
        <f>-(D47+D48)*I15</f>
        <v>-74.244</v>
      </c>
      <c r="E49" s="142">
        <f>-(E47+E48)*I15</f>
        <v>-74.244</v>
      </c>
      <c r="F49" s="139">
        <f>D49+E49</f>
        <v>-148.488</v>
      </c>
      <c r="H49" s="155" t="s">
        <v>136</v>
      </c>
      <c r="I49" s="155"/>
      <c r="J49" s="157">
        <f>I47+J48</f>
        <v>336.75599999999997</v>
      </c>
    </row>
    <row r="50" spans="2:11" x14ac:dyDescent="0.35">
      <c r="B50" s="149" t="s">
        <v>125</v>
      </c>
      <c r="C50" s="149"/>
      <c r="D50" s="150">
        <f>D48+D49</f>
        <v>336.75599999999997</v>
      </c>
      <c r="E50" s="151">
        <f>E48+E49</f>
        <v>336.75599999999997</v>
      </c>
      <c r="F50" s="150">
        <f>D50+E50</f>
        <v>673.51199999999994</v>
      </c>
    </row>
    <row r="51" spans="2:11" x14ac:dyDescent="0.35">
      <c r="B51" s="153"/>
      <c r="C51" s="153"/>
      <c r="D51" s="154"/>
      <c r="E51" s="154"/>
      <c r="F51" s="154"/>
    </row>
    <row r="52" spans="2:11" x14ac:dyDescent="0.35">
      <c r="B52" s="111" t="s">
        <v>129</v>
      </c>
      <c r="C52" s="111"/>
      <c r="D52" s="111"/>
      <c r="E52" s="111"/>
      <c r="F52" s="161"/>
    </row>
    <row r="53" spans="2:11" x14ac:dyDescent="0.35">
      <c r="B53" s="158" t="s">
        <v>126</v>
      </c>
      <c r="C53" s="158"/>
      <c r="D53" s="159" t="s">
        <v>130</v>
      </c>
      <c r="E53" s="159">
        <f>2*(D54+D55)</f>
        <v>927.51199999999994</v>
      </c>
      <c r="F53" s="162"/>
    </row>
    <row r="54" spans="2:11" x14ac:dyDescent="0.35">
      <c r="B54" s="135" t="s">
        <v>127</v>
      </c>
      <c r="C54" s="135"/>
      <c r="D54" s="156">
        <f>C14</f>
        <v>127</v>
      </c>
      <c r="E54" s="156">
        <f>C17</f>
        <v>127</v>
      </c>
      <c r="F54" s="162"/>
    </row>
    <row r="55" spans="2:11" x14ac:dyDescent="0.35">
      <c r="B55" s="136" t="s">
        <v>128</v>
      </c>
      <c r="C55" s="136"/>
      <c r="D55" s="160">
        <f>D50</f>
        <v>336.75599999999997</v>
      </c>
      <c r="E55" s="160">
        <f>E50</f>
        <v>336.75599999999997</v>
      </c>
      <c r="F55" s="162"/>
    </row>
    <row r="56" spans="2:11" x14ac:dyDescent="0.35">
      <c r="D56" s="138"/>
      <c r="E56" s="138"/>
      <c r="F56" s="162"/>
    </row>
    <row r="58" spans="2:11" ht="18.5" x14ac:dyDescent="0.35">
      <c r="B58" s="206" t="s">
        <v>142</v>
      </c>
      <c r="C58" s="206"/>
      <c r="D58" s="206"/>
      <c r="E58" s="206"/>
      <c r="F58" s="206"/>
      <c r="G58" s="206"/>
      <c r="H58" s="206"/>
      <c r="I58" s="206"/>
      <c r="J58" s="206"/>
      <c r="K58" s="206"/>
    </row>
    <row r="60" spans="2:11" x14ac:dyDescent="0.35">
      <c r="B60" s="180" t="s">
        <v>157</v>
      </c>
      <c r="C60" s="180"/>
      <c r="D60" s="181">
        <f>D30</f>
        <v>0.43099999999999999</v>
      </c>
    </row>
    <row r="61" spans="2:11" ht="5.5" customHeight="1" x14ac:dyDescent="0.35">
      <c r="B61" s="172"/>
      <c r="C61" s="172"/>
      <c r="D61" s="173"/>
    </row>
    <row r="62" spans="2:11" x14ac:dyDescent="0.35">
      <c r="B62" s="183" t="s">
        <v>140</v>
      </c>
      <c r="C62" s="183"/>
      <c r="D62" s="129">
        <f>I16</f>
        <v>0.4</v>
      </c>
    </row>
    <row r="63" spans="2:11" x14ac:dyDescent="0.35">
      <c r="B63" s="179" t="s">
        <v>143</v>
      </c>
      <c r="C63" s="179"/>
      <c r="D63" s="182">
        <f>I15</f>
        <v>0.13800000000000001</v>
      </c>
    </row>
    <row r="64" spans="2:11" x14ac:dyDescent="0.35">
      <c r="B64" s="155" t="s">
        <v>144</v>
      </c>
      <c r="C64" s="155"/>
      <c r="D64" s="174">
        <f>D62-D63</f>
        <v>0.26200000000000001</v>
      </c>
    </row>
    <row r="65" spans="2:11" x14ac:dyDescent="0.35">
      <c r="B65" s="136" t="s">
        <v>156</v>
      </c>
      <c r="C65" s="136"/>
      <c r="D65" s="116">
        <f>D64/2</f>
        <v>0.13100000000000001</v>
      </c>
    </row>
    <row r="66" spans="2:11" x14ac:dyDescent="0.35">
      <c r="B66" s="165" t="s">
        <v>154</v>
      </c>
      <c r="C66" s="165"/>
      <c r="D66" s="170">
        <v>1200</v>
      </c>
    </row>
    <row r="67" spans="2:11" x14ac:dyDescent="0.35">
      <c r="B67" s="134" t="s">
        <v>100</v>
      </c>
      <c r="C67" s="134"/>
      <c r="D67" s="171">
        <f>D66/2</f>
        <v>600</v>
      </c>
    </row>
    <row r="68" spans="2:11" x14ac:dyDescent="0.35">
      <c r="B68" s="134" t="s">
        <v>101</v>
      </c>
      <c r="C68" s="134"/>
      <c r="D68" s="171">
        <f>D66/2</f>
        <v>600</v>
      </c>
    </row>
    <row r="69" spans="2:11" x14ac:dyDescent="0.35">
      <c r="B69" s="184" t="s">
        <v>158</v>
      </c>
      <c r="C69" s="184"/>
      <c r="D69" s="185">
        <f>D65/D60</f>
        <v>0.30394431554524365</v>
      </c>
    </row>
    <row r="70" spans="2:11" x14ac:dyDescent="0.35">
      <c r="D70" s="173"/>
    </row>
    <row r="71" spans="2:11" x14ac:dyDescent="0.35">
      <c r="B71" s="111" t="s">
        <v>149</v>
      </c>
      <c r="C71" s="111"/>
      <c r="D71" s="111"/>
      <c r="E71" s="111"/>
      <c r="F71" s="111"/>
    </row>
    <row r="72" spans="2:11" x14ac:dyDescent="0.35">
      <c r="B72" s="120"/>
      <c r="C72" s="122" t="s">
        <v>146</v>
      </c>
      <c r="D72" s="186" t="s">
        <v>147</v>
      </c>
      <c r="E72" s="186"/>
      <c r="F72" s="122" t="s">
        <v>148</v>
      </c>
    </row>
    <row r="73" spans="2:11" x14ac:dyDescent="0.35">
      <c r="B73" s="102" t="s">
        <v>100</v>
      </c>
      <c r="C73" s="115">
        <f>D30</f>
        <v>0.43099999999999999</v>
      </c>
      <c r="D73" s="176">
        <f>-D64/2</f>
        <v>-0.13100000000000001</v>
      </c>
      <c r="E73" s="176"/>
      <c r="F73" s="125">
        <f>C73+D73</f>
        <v>0.3</v>
      </c>
    </row>
    <row r="74" spans="2:11" x14ac:dyDescent="0.35">
      <c r="B74" s="171" t="s">
        <v>101</v>
      </c>
      <c r="C74" s="173">
        <f>D31</f>
        <v>0.43099999999999999</v>
      </c>
      <c r="D74" s="176">
        <f>-D64/2</f>
        <v>-0.13100000000000001</v>
      </c>
      <c r="E74" s="176"/>
      <c r="F74" s="125">
        <f>C74+D74</f>
        <v>0.3</v>
      </c>
    </row>
    <row r="75" spans="2:11" x14ac:dyDescent="0.35">
      <c r="B75" s="102" t="s">
        <v>139</v>
      </c>
      <c r="C75" s="115">
        <f>D32</f>
        <v>0.13800000000000001</v>
      </c>
      <c r="D75" s="177">
        <f>D64</f>
        <v>0.26200000000000001</v>
      </c>
      <c r="E75" s="133"/>
      <c r="F75" s="125">
        <f>C75+D75</f>
        <v>0.4</v>
      </c>
    </row>
    <row r="76" spans="2:11" x14ac:dyDescent="0.35">
      <c r="B76" s="127" t="s">
        <v>145</v>
      </c>
      <c r="C76" s="174">
        <f>SUM(C73:C75)</f>
        <v>1</v>
      </c>
      <c r="D76" s="175">
        <f>SUM(D73:E75)</f>
        <v>0</v>
      </c>
      <c r="E76" s="164"/>
      <c r="F76" s="174">
        <f>SUM(F73:F75)</f>
        <v>1</v>
      </c>
    </row>
    <row r="78" spans="2:11" x14ac:dyDescent="0.35">
      <c r="B78" s="111" t="s">
        <v>166</v>
      </c>
      <c r="C78" s="111"/>
      <c r="D78" s="111"/>
      <c r="E78" s="111"/>
      <c r="F78" s="111"/>
      <c r="G78" s="111"/>
      <c r="I78" s="111" t="s">
        <v>167</v>
      </c>
      <c r="J78" s="111"/>
      <c r="K78" s="111"/>
    </row>
    <row r="79" spans="2:11" x14ac:dyDescent="0.35">
      <c r="B79" s="204" t="s">
        <v>152</v>
      </c>
      <c r="C79" s="205" t="s">
        <v>151</v>
      </c>
      <c r="D79" s="205"/>
      <c r="E79" s="205" t="s">
        <v>150</v>
      </c>
      <c r="F79" s="205"/>
      <c r="G79" s="203"/>
      <c r="I79" s="212" t="s">
        <v>168</v>
      </c>
      <c r="J79" s="212" t="s">
        <v>169</v>
      </c>
    </row>
    <row r="80" spans="2:11" x14ac:dyDescent="0.35">
      <c r="B80" t="s">
        <v>153</v>
      </c>
      <c r="C80" s="109">
        <v>600</v>
      </c>
      <c r="D80" s="109"/>
      <c r="E80" s="109">
        <v>600</v>
      </c>
      <c r="F80" s="109"/>
      <c r="I80">
        <f>2*C80</f>
        <v>1200</v>
      </c>
      <c r="J80">
        <f>2*E80</f>
        <v>1200</v>
      </c>
    </row>
    <row r="81" spans="2:11" x14ac:dyDescent="0.35">
      <c r="B81" s="102" t="s">
        <v>155</v>
      </c>
      <c r="C81" s="133">
        <f>C14</f>
        <v>127</v>
      </c>
      <c r="D81" s="133"/>
      <c r="E81" s="191">
        <f>E53/2</f>
        <v>463.75599999999997</v>
      </c>
      <c r="F81" s="191"/>
      <c r="I81">
        <f>2*C81</f>
        <v>254</v>
      </c>
      <c r="J81" s="195">
        <f>2*E81</f>
        <v>927.51199999999994</v>
      </c>
    </row>
    <row r="82" spans="2:11" x14ac:dyDescent="0.35">
      <c r="B82" s="188" t="s">
        <v>159</v>
      </c>
      <c r="C82" s="189">
        <f>C81*D69</f>
        <v>38.600928074245942</v>
      </c>
      <c r="D82" s="189"/>
      <c r="E82" s="189">
        <f>E81*D69</f>
        <v>140.95600000000002</v>
      </c>
      <c r="F82" s="189"/>
      <c r="I82" s="195">
        <f>2*C82</f>
        <v>77.201856148491885</v>
      </c>
      <c r="J82" s="195">
        <f>2*E82</f>
        <v>281.91200000000003</v>
      </c>
    </row>
    <row r="83" spans="2:11" x14ac:dyDescent="0.35">
      <c r="B83" s="127" t="s">
        <v>160</v>
      </c>
      <c r="C83" s="190">
        <f>C80-C82</f>
        <v>561.39907192575401</v>
      </c>
      <c r="D83" s="190"/>
      <c r="E83" s="190">
        <f>E80-E82</f>
        <v>459.04399999999998</v>
      </c>
      <c r="F83" s="190"/>
      <c r="I83" s="208">
        <f>2*C83</f>
        <v>1122.798143851508</v>
      </c>
      <c r="J83" s="208">
        <f>2*E83</f>
        <v>918.08799999999997</v>
      </c>
    </row>
    <row r="84" spans="2:11" x14ac:dyDescent="0.35">
      <c r="C84" s="109"/>
      <c r="D84" s="109"/>
      <c r="E84" s="109"/>
      <c r="F84" s="109"/>
    </row>
    <row r="85" spans="2:11" x14ac:dyDescent="0.35">
      <c r="B85" s="102" t="s">
        <v>161</v>
      </c>
      <c r="C85" s="189">
        <f>C83*34%</f>
        <v>190.87568445475637</v>
      </c>
      <c r="D85" s="189"/>
      <c r="E85" s="189">
        <f>34%*E83</f>
        <v>156.07496</v>
      </c>
      <c r="F85" s="189"/>
      <c r="G85" s="197" t="s">
        <v>165</v>
      </c>
      <c r="I85" s="195">
        <f>2*C85</f>
        <v>381.75136890951273</v>
      </c>
      <c r="J85" s="195">
        <f>2*E85</f>
        <v>312.14992000000001</v>
      </c>
      <c r="K85" s="197" t="s">
        <v>165</v>
      </c>
    </row>
    <row r="86" spans="2:11" x14ac:dyDescent="0.35">
      <c r="B86" s="192" t="s">
        <v>162</v>
      </c>
      <c r="C86" s="193">
        <f>C80-C85</f>
        <v>409.12431554524363</v>
      </c>
      <c r="D86" s="194"/>
      <c r="E86" s="193">
        <f>E80-E85</f>
        <v>443.92503999999997</v>
      </c>
      <c r="F86" s="194"/>
      <c r="G86" s="198">
        <f>E86-C86</f>
        <v>34.800724454756335</v>
      </c>
      <c r="I86" s="207">
        <f>2*C86</f>
        <v>818.24863109048727</v>
      </c>
      <c r="J86" s="207">
        <f>2*E86</f>
        <v>887.85007999999993</v>
      </c>
      <c r="K86" s="209">
        <f>J86-I86</f>
        <v>69.601448909512669</v>
      </c>
    </row>
    <row r="87" spans="2:11" x14ac:dyDescent="0.35">
      <c r="B87" s="102" t="s">
        <v>163</v>
      </c>
      <c r="C87" s="176">
        <f>C85/C80</f>
        <v>0.31812614075792728</v>
      </c>
      <c r="D87" s="176"/>
      <c r="E87" s="176">
        <f>E85/E80</f>
        <v>0.26012493333333336</v>
      </c>
      <c r="F87" s="176"/>
      <c r="G87" s="199">
        <f>C87-E87</f>
        <v>5.8001207424593915E-2</v>
      </c>
      <c r="I87" s="114">
        <f>C87</f>
        <v>0.31812614075792728</v>
      </c>
      <c r="J87" s="114">
        <f>E87</f>
        <v>0.26012493333333336</v>
      </c>
      <c r="K87" s="210">
        <f>I87-J87</f>
        <v>5.8001207424593915E-2</v>
      </c>
    </row>
    <row r="88" spans="2:11" x14ac:dyDescent="0.35">
      <c r="C88" s="109"/>
      <c r="D88" s="109"/>
      <c r="E88" s="109"/>
      <c r="F88" s="109"/>
      <c r="G88" s="200"/>
      <c r="K88" s="211"/>
    </row>
    <row r="89" spans="2:11" x14ac:dyDescent="0.35">
      <c r="B89" s="131" t="s">
        <v>164</v>
      </c>
      <c r="C89" s="187">
        <f>C81-C82</f>
        <v>88.399071925754058</v>
      </c>
      <c r="D89" s="110"/>
      <c r="E89" s="202">
        <f>E81-E82</f>
        <v>322.79999999999995</v>
      </c>
      <c r="F89" s="110"/>
      <c r="G89" s="201">
        <f>E89-C89</f>
        <v>234.40092807424588</v>
      </c>
      <c r="I89" s="196">
        <f>2*C89</f>
        <v>176.79814385150812</v>
      </c>
      <c r="J89" s="130">
        <f>2*E89</f>
        <v>645.59999999999991</v>
      </c>
      <c r="K89" s="209">
        <f>J89-I89</f>
        <v>468.80185614849177</v>
      </c>
    </row>
  </sheetData>
  <mergeCells count="60">
    <mergeCell ref="I78:K78"/>
    <mergeCell ref="E87:F87"/>
    <mergeCell ref="E88:F88"/>
    <mergeCell ref="E89:F89"/>
    <mergeCell ref="B78:G78"/>
    <mergeCell ref="C87:D87"/>
    <mergeCell ref="C88:D88"/>
    <mergeCell ref="C89:D89"/>
    <mergeCell ref="E80:F80"/>
    <mergeCell ref="E81:F81"/>
    <mergeCell ref="E82:F82"/>
    <mergeCell ref="E83:F83"/>
    <mergeCell ref="E84:F84"/>
    <mergeCell ref="E85:F85"/>
    <mergeCell ref="E86:F86"/>
    <mergeCell ref="C81:D81"/>
    <mergeCell ref="C82:D82"/>
    <mergeCell ref="C83:D83"/>
    <mergeCell ref="C84:D84"/>
    <mergeCell ref="C85:D85"/>
    <mergeCell ref="C86:D86"/>
    <mergeCell ref="D75:E75"/>
    <mergeCell ref="D76:E76"/>
    <mergeCell ref="B71:F71"/>
    <mergeCell ref="C79:D79"/>
    <mergeCell ref="E79:F79"/>
    <mergeCell ref="C80:D80"/>
    <mergeCell ref="B67:C67"/>
    <mergeCell ref="B68:C68"/>
    <mergeCell ref="D72:E72"/>
    <mergeCell ref="D73:E73"/>
    <mergeCell ref="D74:E74"/>
    <mergeCell ref="B69:C69"/>
    <mergeCell ref="B10:K10"/>
    <mergeCell ref="B58:K58"/>
    <mergeCell ref="B62:C62"/>
    <mergeCell ref="B63:C63"/>
    <mergeCell ref="B64:C64"/>
    <mergeCell ref="B66:C66"/>
    <mergeCell ref="B65:C65"/>
    <mergeCell ref="B60:C60"/>
    <mergeCell ref="B55:C55"/>
    <mergeCell ref="B52:E52"/>
    <mergeCell ref="H45:J45"/>
    <mergeCell ref="H49:I49"/>
    <mergeCell ref="B48:C48"/>
    <mergeCell ref="B45:F45"/>
    <mergeCell ref="B49:C49"/>
    <mergeCell ref="B50:C50"/>
    <mergeCell ref="B53:C53"/>
    <mergeCell ref="B54:C54"/>
    <mergeCell ref="B47:C47"/>
    <mergeCell ref="E15:H15"/>
    <mergeCell ref="E17:H17"/>
    <mergeCell ref="E12:I12"/>
    <mergeCell ref="B46:C46"/>
    <mergeCell ref="B26:K26"/>
    <mergeCell ref="B12:C12"/>
    <mergeCell ref="B28:D28"/>
    <mergeCell ref="B35:D3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8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FCEB-3EC4-46F4-BC7B-DEB84CC20AC9}">
  <dimension ref="B8:K16"/>
  <sheetViews>
    <sheetView showGridLines="0" topLeftCell="A7" workbookViewId="0">
      <selection activeCell="B13" sqref="B13"/>
    </sheetView>
  </sheetViews>
  <sheetFormatPr defaultRowHeight="14.5" x14ac:dyDescent="0.35"/>
  <cols>
    <col min="6" max="6" width="10.6328125" bestFit="1" customWidth="1"/>
  </cols>
  <sheetData>
    <row r="8" spans="2:11" ht="18.5" x14ac:dyDescent="0.35">
      <c r="B8" s="206" t="s">
        <v>170</v>
      </c>
      <c r="C8" s="206"/>
      <c r="D8" s="206"/>
      <c r="E8" s="206"/>
      <c r="F8" s="206"/>
      <c r="G8" s="206"/>
      <c r="H8" s="206"/>
      <c r="I8" s="206"/>
      <c r="J8" s="206"/>
      <c r="K8" s="206"/>
    </row>
    <row r="11" spans="2:11" x14ac:dyDescent="0.35">
      <c r="B11" s="111" t="s">
        <v>171</v>
      </c>
      <c r="C11" s="111"/>
      <c r="D11" s="111"/>
      <c r="E11" s="111"/>
      <c r="F11" s="111"/>
    </row>
    <row r="12" spans="2:11" x14ac:dyDescent="0.35">
      <c r="B12" s="152" t="s">
        <v>172</v>
      </c>
      <c r="C12" s="152"/>
      <c r="D12" s="152"/>
      <c r="E12" s="152"/>
      <c r="F12" s="137" t="s">
        <v>105</v>
      </c>
    </row>
    <row r="13" spans="2:11" x14ac:dyDescent="0.35">
      <c r="B13" s="102" t="s">
        <v>106</v>
      </c>
      <c r="F13" s="137" t="s">
        <v>107</v>
      </c>
    </row>
    <row r="14" spans="2:11" x14ac:dyDescent="0.35">
      <c r="B14" s="134" t="s">
        <v>108</v>
      </c>
      <c r="C14" s="134"/>
      <c r="D14" s="134"/>
      <c r="E14" s="134"/>
      <c r="F14" s="115">
        <v>0.13800000000000001</v>
      </c>
    </row>
    <row r="15" spans="2:11" x14ac:dyDescent="0.35">
      <c r="B15" s="102" t="s">
        <v>141</v>
      </c>
      <c r="F15" s="115">
        <v>0.4</v>
      </c>
    </row>
    <row r="16" spans="2:11" x14ac:dyDescent="0.35">
      <c r="B16" s="136" t="s">
        <v>109</v>
      </c>
      <c r="C16" s="136"/>
      <c r="D16" s="136"/>
      <c r="E16" s="136"/>
      <c r="F16" s="116">
        <v>0.34</v>
      </c>
    </row>
  </sheetData>
  <mergeCells count="5">
    <mergeCell ref="B8:K8"/>
    <mergeCell ref="B11:F11"/>
    <mergeCell ref="B14:E14"/>
    <mergeCell ref="B16:E16"/>
    <mergeCell ref="B12:E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CA2C-2836-4D9B-8673-71BC12F496CF}">
  <dimension ref="B2:M27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36.6328125" style="3" bestFit="1" customWidth="1"/>
    <col min="3" max="3" width="70.08984375" style="3" bestFit="1" customWidth="1"/>
    <col min="4" max="4" width="16" style="2" bestFit="1" customWidth="1"/>
    <col min="5" max="5" width="25.453125" style="3" bestFit="1" customWidth="1"/>
    <col min="6" max="6" width="27.36328125" style="3" bestFit="1" customWidth="1"/>
    <col min="7" max="7" width="16" style="3" customWidth="1"/>
    <col min="8" max="8" width="13.36328125" style="3" customWidth="1"/>
    <col min="9" max="9" width="27.36328125" style="3" bestFit="1" customWidth="1"/>
    <col min="10" max="10" width="15" style="3" bestFit="1" customWidth="1"/>
    <col min="11" max="11" width="17.81640625" style="3" bestFit="1" customWidth="1"/>
    <col min="12" max="13" width="26" style="3" customWidth="1"/>
    <col min="14" max="16384" width="9.08984375" style="3"/>
  </cols>
  <sheetData>
    <row r="2" spans="2:13" x14ac:dyDescent="0.35">
      <c r="C2" s="1"/>
      <c r="D2" s="4"/>
      <c r="E2" s="5"/>
      <c r="F2" s="5"/>
      <c r="G2" s="5"/>
      <c r="H2" s="5"/>
      <c r="I2" s="5"/>
      <c r="J2" s="7"/>
      <c r="K2" s="7" t="s">
        <v>57</v>
      </c>
      <c r="L2" s="7"/>
      <c r="M2" s="7"/>
    </row>
    <row r="3" spans="2:13" x14ac:dyDescent="0.35">
      <c r="B3" s="96" t="s">
        <v>0</v>
      </c>
      <c r="C3" s="97" t="s">
        <v>52</v>
      </c>
      <c r="D3" s="98"/>
      <c r="E3" s="97"/>
      <c r="F3" s="97"/>
      <c r="G3" s="99">
        <v>45627</v>
      </c>
      <c r="H3" s="5"/>
      <c r="I3" s="64" t="s">
        <v>54</v>
      </c>
      <c r="J3" s="65">
        <v>956469.60499999975</v>
      </c>
      <c r="K3" s="5" t="s">
        <v>2</v>
      </c>
      <c r="L3" s="8"/>
      <c r="M3" s="8"/>
    </row>
    <row r="4" spans="2:13" x14ac:dyDescent="0.35">
      <c r="B4" s="69" t="s">
        <v>30</v>
      </c>
      <c r="C4" s="33"/>
      <c r="D4" s="50">
        <f>SUM(D5+D11)</f>
        <v>10218399.67</v>
      </c>
      <c r="E4" s="69" t="s">
        <v>31</v>
      </c>
      <c r="F4" s="33"/>
      <c r="G4" s="50">
        <f>SUM(G5+G10+G13)</f>
        <v>10218399.669999996</v>
      </c>
      <c r="I4" s="66" t="s">
        <v>55</v>
      </c>
      <c r="J4" s="67">
        <v>956469.60499999975</v>
      </c>
      <c r="K4" s="5" t="s">
        <v>2</v>
      </c>
      <c r="L4" s="8"/>
      <c r="M4" s="8"/>
    </row>
    <row r="5" spans="2:13" x14ac:dyDescent="0.35">
      <c r="B5" s="72" t="s">
        <v>32</v>
      </c>
      <c r="C5" s="35"/>
      <c r="D5" s="53">
        <f>SUM(D6:D10)</f>
        <v>1964054.2400000002</v>
      </c>
      <c r="E5" s="70" t="s">
        <v>33</v>
      </c>
      <c r="F5" s="35"/>
      <c r="G5" s="53">
        <f>SUM(G6:G9)</f>
        <v>132218.99</v>
      </c>
      <c r="H5" s="5"/>
      <c r="I5" s="21"/>
      <c r="J5" s="22">
        <f>SUM(J3+J4)</f>
        <v>1912939.2099999995</v>
      </c>
      <c r="L5" s="8"/>
      <c r="M5" s="8"/>
    </row>
    <row r="6" spans="2:13" x14ac:dyDescent="0.35">
      <c r="B6" s="71"/>
      <c r="C6" s="35" t="s">
        <v>34</v>
      </c>
      <c r="D6" s="36">
        <v>2</v>
      </c>
      <c r="E6" s="89"/>
      <c r="F6" s="35" t="s">
        <v>37</v>
      </c>
      <c r="G6" s="36">
        <v>0</v>
      </c>
      <c r="I6" s="23" t="s">
        <v>1</v>
      </c>
      <c r="J6" s="24">
        <v>34739.57</v>
      </c>
      <c r="K6" s="5" t="s">
        <v>2</v>
      </c>
      <c r="L6" s="8"/>
      <c r="M6" s="8"/>
    </row>
    <row r="7" spans="2:13" x14ac:dyDescent="0.35">
      <c r="B7" s="71"/>
      <c r="C7" s="35" t="s">
        <v>42</v>
      </c>
      <c r="D7" s="36">
        <v>1072152.57</v>
      </c>
      <c r="E7" s="89"/>
      <c r="F7" s="35" t="s">
        <v>35</v>
      </c>
      <c r="G7" s="36">
        <v>102122.6</v>
      </c>
      <c r="J7" s="8"/>
      <c r="K7" s="38"/>
      <c r="L7" s="8"/>
      <c r="M7" s="8"/>
    </row>
    <row r="8" spans="2:13" x14ac:dyDescent="0.35">
      <c r="B8" s="71"/>
      <c r="C8" s="35" t="s">
        <v>36</v>
      </c>
      <c r="D8" s="36">
        <v>22442.37</v>
      </c>
      <c r="E8" s="89"/>
      <c r="F8" s="35" t="s">
        <v>38</v>
      </c>
      <c r="G8" s="36">
        <v>30096.39</v>
      </c>
      <c r="J8" s="8"/>
      <c r="K8" s="38"/>
      <c r="L8" s="8"/>
      <c r="M8" s="8"/>
    </row>
    <row r="9" spans="2:13" x14ac:dyDescent="0.35">
      <c r="B9" s="71"/>
      <c r="C9" s="35" t="s">
        <v>43</v>
      </c>
      <c r="D9" s="36">
        <v>326886.99</v>
      </c>
      <c r="E9" s="72"/>
      <c r="F9" s="35" t="s">
        <v>48</v>
      </c>
      <c r="G9" s="52">
        <v>0</v>
      </c>
    </row>
    <row r="10" spans="2:13" x14ac:dyDescent="0.35">
      <c r="B10" s="72"/>
      <c r="C10" s="35" t="s">
        <v>44</v>
      </c>
      <c r="D10" s="52">
        <v>542570.31000000006</v>
      </c>
      <c r="E10" s="70" t="s">
        <v>39</v>
      </c>
      <c r="F10" s="35"/>
      <c r="G10" s="53">
        <f>SUM(G11:G12)</f>
        <v>32527.279999999999</v>
      </c>
    </row>
    <row r="11" spans="2:13" x14ac:dyDescent="0.35">
      <c r="B11" s="82" t="s">
        <v>46</v>
      </c>
      <c r="C11" s="40"/>
      <c r="D11" s="84">
        <f>D13</f>
        <v>8254345.4299999997</v>
      </c>
      <c r="E11" s="71"/>
      <c r="F11" s="35" t="s">
        <v>47</v>
      </c>
      <c r="G11" s="36">
        <v>32527.279999999999</v>
      </c>
    </row>
    <row r="12" spans="2:13" x14ac:dyDescent="0.35">
      <c r="B12" s="39"/>
      <c r="C12" s="40" t="s">
        <v>40</v>
      </c>
      <c r="D12" s="41">
        <v>0</v>
      </c>
      <c r="E12" s="72"/>
      <c r="F12" s="56" t="s">
        <v>37</v>
      </c>
      <c r="G12" s="52">
        <v>0</v>
      </c>
    </row>
    <row r="13" spans="2:13" x14ac:dyDescent="0.35">
      <c r="B13" s="39"/>
      <c r="C13" s="40" t="s">
        <v>45</v>
      </c>
      <c r="D13" s="49">
        <v>8254345.4299999997</v>
      </c>
      <c r="E13" s="73" t="s">
        <v>41</v>
      </c>
      <c r="F13" s="40"/>
      <c r="G13" s="74">
        <f>SUM(G14:G17)</f>
        <v>10053653.399999997</v>
      </c>
    </row>
    <row r="14" spans="2:13" x14ac:dyDescent="0.35">
      <c r="B14" s="39"/>
      <c r="C14" s="40"/>
      <c r="D14" s="41"/>
      <c r="E14" s="40"/>
      <c r="F14" s="40" t="s">
        <v>49</v>
      </c>
      <c r="G14" s="41">
        <v>14139130</v>
      </c>
    </row>
    <row r="15" spans="2:13" x14ac:dyDescent="0.35">
      <c r="B15" s="39"/>
      <c r="C15" s="40"/>
      <c r="D15" s="41"/>
      <c r="E15" s="40"/>
      <c r="F15" s="40" t="s">
        <v>50</v>
      </c>
      <c r="G15" s="41">
        <v>4562148.38</v>
      </c>
    </row>
    <row r="16" spans="2:13" x14ac:dyDescent="0.35">
      <c r="B16" s="39"/>
      <c r="C16" s="40"/>
      <c r="D16" s="41"/>
      <c r="E16" s="40"/>
      <c r="F16" s="40" t="s">
        <v>53</v>
      </c>
      <c r="G16" s="41">
        <v>48664.65</v>
      </c>
    </row>
    <row r="17" spans="2:7" x14ac:dyDescent="0.35">
      <c r="B17" s="47"/>
      <c r="C17" s="48"/>
      <c r="D17" s="49"/>
      <c r="E17" s="48"/>
      <c r="F17" s="48" t="s">
        <v>51</v>
      </c>
      <c r="G17" s="49">
        <v>-8696289.6300000008</v>
      </c>
    </row>
    <row r="18" spans="2:7" x14ac:dyDescent="0.35">
      <c r="D18" s="44"/>
      <c r="G18" s="44"/>
    </row>
    <row r="20" spans="2:7" ht="13.5" thickBot="1" x14ac:dyDescent="0.4"/>
    <row r="21" spans="2:7" ht="26.5" thickBot="1" x14ac:dyDescent="0.4">
      <c r="B21" s="25" t="s">
        <v>3</v>
      </c>
      <c r="C21" s="26" t="s">
        <v>4</v>
      </c>
      <c r="D21" s="26" t="s">
        <v>5</v>
      </c>
      <c r="E21" s="9" t="s">
        <v>6</v>
      </c>
    </row>
    <row r="22" spans="2:7" ht="40" thickTop="1" thickBot="1" x14ac:dyDescent="0.4">
      <c r="B22" s="27" t="s">
        <v>7</v>
      </c>
      <c r="C22" s="16" t="s">
        <v>8</v>
      </c>
      <c r="D22" s="10" t="s">
        <v>9</v>
      </c>
      <c r="E22" s="11" t="s">
        <v>10</v>
      </c>
    </row>
    <row r="23" spans="2:7" ht="40" thickTop="1" thickBot="1" x14ac:dyDescent="0.4">
      <c r="B23" s="28" t="s">
        <v>11</v>
      </c>
      <c r="C23" s="12" t="s">
        <v>12</v>
      </c>
      <c r="D23" s="12" t="s">
        <v>13</v>
      </c>
      <c r="E23" s="13" t="s">
        <v>14</v>
      </c>
    </row>
    <row r="24" spans="2:7" ht="39.5" thickTop="1" x14ac:dyDescent="0.35">
      <c r="B24" s="29" t="s">
        <v>15</v>
      </c>
      <c r="C24" s="10" t="s">
        <v>16</v>
      </c>
      <c r="D24" s="10" t="s">
        <v>17</v>
      </c>
      <c r="E24" s="11" t="s">
        <v>18</v>
      </c>
    </row>
    <row r="25" spans="2:7" ht="78.5" thickBot="1" x14ac:dyDescent="0.4">
      <c r="B25" s="30" t="s">
        <v>19</v>
      </c>
      <c r="C25" s="14" t="s">
        <v>20</v>
      </c>
      <c r="D25" s="14" t="s">
        <v>21</v>
      </c>
      <c r="E25" s="15" t="s">
        <v>22</v>
      </c>
    </row>
    <row r="26" spans="2:7" ht="39.5" thickTop="1" x14ac:dyDescent="0.35">
      <c r="B26" s="31" t="s">
        <v>23</v>
      </c>
      <c r="C26" s="45" t="s">
        <v>24</v>
      </c>
      <c r="D26" s="16" t="s">
        <v>25</v>
      </c>
      <c r="E26" s="15" t="s">
        <v>26</v>
      </c>
    </row>
    <row r="27" spans="2:7" ht="39.5" thickBot="1" x14ac:dyDescent="0.4">
      <c r="B27" s="32" t="s">
        <v>27</v>
      </c>
      <c r="C27" s="46" t="s">
        <v>28</v>
      </c>
      <c r="D27" s="17" t="s">
        <v>13</v>
      </c>
      <c r="E27" s="1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62AB-6247-42E7-8174-D63DA5E29B76}">
  <dimension ref="B1:N15"/>
  <sheetViews>
    <sheetView showGridLines="0" zoomScale="115" zoomScaleNormal="11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6.453125" style="3" customWidth="1"/>
    <col min="3" max="3" width="39.453125" style="3" bestFit="1" customWidth="1"/>
    <col min="4" max="4" width="15" style="2" bestFit="1" customWidth="1"/>
    <col min="5" max="5" width="16.08984375" style="3" bestFit="1" customWidth="1"/>
    <col min="6" max="6" width="27.36328125" style="3" bestFit="1" customWidth="1"/>
    <col min="7" max="7" width="15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2:14" x14ac:dyDescent="0.35">
      <c r="I1" s="58"/>
      <c r="J1" s="58"/>
      <c r="K1" s="58"/>
    </row>
    <row r="2" spans="2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2:14" x14ac:dyDescent="0.35">
      <c r="B3" s="96" t="s">
        <v>59</v>
      </c>
      <c r="C3" s="97" t="s">
        <v>60</v>
      </c>
      <c r="D3" s="98"/>
      <c r="E3" s="97"/>
      <c r="F3" s="97"/>
      <c r="G3" s="99">
        <v>45627</v>
      </c>
      <c r="H3" s="5"/>
      <c r="I3" s="60"/>
      <c r="J3" s="60"/>
      <c r="K3" s="61"/>
      <c r="L3" s="107" t="s">
        <v>58</v>
      </c>
      <c r="M3" s="8"/>
      <c r="N3" s="8"/>
    </row>
    <row r="4" spans="2:14" x14ac:dyDescent="0.35">
      <c r="B4" s="69" t="s">
        <v>30</v>
      </c>
      <c r="C4" s="33"/>
      <c r="D4" s="50">
        <f>SUM(D5+D9)</f>
        <v>1167425.47</v>
      </c>
      <c r="E4" s="85" t="s">
        <v>31</v>
      </c>
      <c r="F4" s="33"/>
      <c r="G4" s="50">
        <f>G5+G7</f>
        <v>1167425.4700000002</v>
      </c>
      <c r="I4" s="60"/>
      <c r="J4" s="60"/>
      <c r="K4" s="61"/>
      <c r="L4" s="107"/>
      <c r="M4" s="8"/>
      <c r="N4" s="8"/>
    </row>
    <row r="5" spans="2:14" x14ac:dyDescent="0.35">
      <c r="B5" s="70" t="s">
        <v>32</v>
      </c>
      <c r="C5" s="35"/>
      <c r="D5" s="53">
        <f>SUM(D6:D8)</f>
        <v>383408.32999999996</v>
      </c>
      <c r="E5" s="68" t="s">
        <v>33</v>
      </c>
      <c r="G5" s="37">
        <f>G6</f>
        <v>17724.87</v>
      </c>
      <c r="H5" s="5"/>
      <c r="I5" s="58"/>
      <c r="J5" s="58"/>
      <c r="K5" s="62"/>
      <c r="L5" s="107"/>
      <c r="M5" s="8"/>
      <c r="N5" s="8"/>
    </row>
    <row r="6" spans="2:14" x14ac:dyDescent="0.35">
      <c r="B6" s="71"/>
      <c r="C6" s="35" t="s">
        <v>34</v>
      </c>
      <c r="D6" s="36">
        <v>1</v>
      </c>
      <c r="E6" s="1"/>
      <c r="F6" s="3" t="s">
        <v>66</v>
      </c>
      <c r="G6" s="37">
        <v>17724.87</v>
      </c>
      <c r="I6" s="60"/>
      <c r="J6" s="60"/>
      <c r="K6" s="62"/>
      <c r="L6" s="107"/>
      <c r="M6" s="8"/>
      <c r="N6" s="8"/>
    </row>
    <row r="7" spans="2:14" x14ac:dyDescent="0.35">
      <c r="B7" s="71"/>
      <c r="C7" s="35" t="s">
        <v>62</v>
      </c>
      <c r="D7" s="36">
        <v>317739.28999999998</v>
      </c>
      <c r="E7" s="86" t="s">
        <v>41</v>
      </c>
      <c r="G7" s="43">
        <f>SUM(G8:G10)</f>
        <v>1149700.6000000001</v>
      </c>
      <c r="I7" s="58"/>
      <c r="J7" s="58"/>
      <c r="K7" s="57"/>
      <c r="L7" s="107"/>
      <c r="M7" s="8"/>
      <c r="N7" s="8"/>
    </row>
    <row r="8" spans="2:14" x14ac:dyDescent="0.35">
      <c r="B8" s="71"/>
      <c r="C8" s="35" t="s">
        <v>63</v>
      </c>
      <c r="D8" s="36">
        <v>65668.039999999994</v>
      </c>
      <c r="E8" s="20"/>
      <c r="F8" s="3" t="s">
        <v>49</v>
      </c>
      <c r="G8" s="37">
        <v>1150000</v>
      </c>
      <c r="I8" s="58"/>
      <c r="J8" s="58"/>
      <c r="K8" s="62"/>
      <c r="L8" s="107"/>
    </row>
    <row r="9" spans="2:14" x14ac:dyDescent="0.35">
      <c r="B9" s="72" t="s">
        <v>64</v>
      </c>
      <c r="C9" s="35"/>
      <c r="D9" s="36">
        <f>D10</f>
        <v>784017.14</v>
      </c>
      <c r="E9" s="1"/>
      <c r="F9" s="3" t="s">
        <v>67</v>
      </c>
      <c r="G9" s="37">
        <v>-200000</v>
      </c>
      <c r="I9" s="58"/>
      <c r="J9" s="58"/>
      <c r="K9" s="62"/>
      <c r="L9" s="107"/>
    </row>
    <row r="10" spans="2:14" x14ac:dyDescent="0.35">
      <c r="B10" s="88" t="s">
        <v>69</v>
      </c>
      <c r="C10" s="56" t="s">
        <v>65</v>
      </c>
      <c r="D10" s="52">
        <v>784017.14</v>
      </c>
      <c r="E10" s="87"/>
      <c r="F10" s="42" t="s">
        <v>68</v>
      </c>
      <c r="G10" s="43">
        <v>199700.6</v>
      </c>
      <c r="I10" s="58"/>
      <c r="J10" s="58"/>
      <c r="K10" s="62"/>
      <c r="L10" s="107"/>
    </row>
    <row r="11" spans="2:14" x14ac:dyDescent="0.35">
      <c r="D11" s="44"/>
      <c r="G11" s="44"/>
      <c r="I11" s="58"/>
      <c r="J11" s="58"/>
      <c r="K11" s="62"/>
      <c r="L11" s="107"/>
    </row>
    <row r="12" spans="2:14" x14ac:dyDescent="0.35">
      <c r="D12" s="44"/>
      <c r="G12" s="44"/>
      <c r="I12" s="58"/>
      <c r="J12" s="58"/>
      <c r="K12" s="62"/>
      <c r="L12" s="5"/>
    </row>
    <row r="15" spans="2:14" x14ac:dyDescent="0.35">
      <c r="E15" s="2"/>
    </row>
  </sheetData>
  <mergeCells count="1">
    <mergeCell ref="L3:L1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FC7-6451-4932-8256-5B62573F937A}">
  <dimension ref="A1:N16"/>
  <sheetViews>
    <sheetView showGridLines="0" zoomScaleNormal="100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58.453125" style="3" bestFit="1" customWidth="1"/>
    <col min="3" max="3" width="19.08984375" style="3" bestFit="1" customWidth="1"/>
    <col min="4" max="4" width="17" style="2" bestFit="1" customWidth="1"/>
    <col min="5" max="5" width="16.08984375" style="3" bestFit="1" customWidth="1"/>
    <col min="6" max="6" width="31.08984375" style="3" bestFit="1" customWidth="1"/>
    <col min="7" max="7" width="17" style="3" bestFit="1" customWidth="1"/>
    <col min="8" max="8" width="13.36328125" style="3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80</v>
      </c>
      <c r="C3" s="97" t="s">
        <v>60</v>
      </c>
      <c r="D3" s="98"/>
      <c r="E3" s="97"/>
      <c r="F3" s="97"/>
      <c r="G3" s="99">
        <v>45627</v>
      </c>
      <c r="H3" s="106" t="s">
        <v>61</v>
      </c>
      <c r="I3" s="60"/>
      <c r="J3" s="60"/>
      <c r="K3" s="61"/>
      <c r="L3" s="107" t="s">
        <v>58</v>
      </c>
      <c r="M3" s="8"/>
      <c r="N3" s="8"/>
    </row>
    <row r="4" spans="1:14" x14ac:dyDescent="0.35">
      <c r="B4" s="69" t="s">
        <v>30</v>
      </c>
      <c r="C4" s="33"/>
      <c r="D4" s="50">
        <f>SUM(D5+D12)</f>
        <v>122371162.56999999</v>
      </c>
      <c r="E4" s="85" t="s">
        <v>31</v>
      </c>
      <c r="F4" s="33"/>
      <c r="G4" s="50">
        <f>SUM(G5+G10)</f>
        <v>122371162.57000001</v>
      </c>
      <c r="H4" s="106"/>
      <c r="I4" s="60"/>
      <c r="J4" s="60"/>
      <c r="K4" s="61"/>
      <c r="L4" s="107"/>
      <c r="M4" s="8"/>
      <c r="N4" s="8"/>
    </row>
    <row r="5" spans="1:14" x14ac:dyDescent="0.35">
      <c r="B5" s="70" t="s">
        <v>32</v>
      </c>
      <c r="C5" s="35"/>
      <c r="D5" s="53">
        <f>SUM(D6:D11)</f>
        <v>14442336.91</v>
      </c>
      <c r="E5" s="70" t="s">
        <v>33</v>
      </c>
      <c r="F5" s="35"/>
      <c r="G5" s="36">
        <f>SUM(G6:G9)</f>
        <v>21461591.919999998</v>
      </c>
      <c r="H5" s="106"/>
      <c r="I5" s="58"/>
      <c r="J5" s="58"/>
      <c r="K5" s="62"/>
      <c r="L5" s="107"/>
      <c r="M5" s="8"/>
      <c r="N5" s="8"/>
    </row>
    <row r="6" spans="1:14" x14ac:dyDescent="0.35">
      <c r="B6" s="71"/>
      <c r="C6" s="35" t="s">
        <v>70</v>
      </c>
      <c r="D6" s="36">
        <v>2437109.31</v>
      </c>
      <c r="E6" s="89"/>
      <c r="F6" s="35" t="s">
        <v>76</v>
      </c>
      <c r="G6" s="79">
        <v>2494168.9500000002</v>
      </c>
      <c r="H6" s="106"/>
      <c r="I6" s="60"/>
      <c r="J6" s="60"/>
      <c r="K6" s="62"/>
      <c r="L6" s="107"/>
      <c r="M6" s="8"/>
      <c r="N6" s="8"/>
    </row>
    <row r="7" spans="1:14" x14ac:dyDescent="0.35">
      <c r="B7" s="71"/>
      <c r="C7" s="35" t="s">
        <v>71</v>
      </c>
      <c r="D7" s="36">
        <v>7001150.1399999997</v>
      </c>
      <c r="E7" s="92"/>
      <c r="F7" s="35" t="s">
        <v>77</v>
      </c>
      <c r="G7" s="36">
        <v>558759.63</v>
      </c>
      <c r="H7" s="106"/>
      <c r="I7" s="58"/>
      <c r="J7" s="58"/>
      <c r="K7" s="57"/>
      <c r="L7" s="107"/>
      <c r="M7" s="8"/>
      <c r="N7" s="8"/>
    </row>
    <row r="8" spans="1:14" x14ac:dyDescent="0.35">
      <c r="B8" s="71"/>
      <c r="C8" s="35" t="s">
        <v>72</v>
      </c>
      <c r="D8" s="36">
        <v>1273637.1100000001</v>
      </c>
      <c r="E8" s="71"/>
      <c r="F8" s="35" t="s">
        <v>56</v>
      </c>
      <c r="G8" s="36">
        <v>17920181.5</v>
      </c>
      <c r="H8" s="106"/>
      <c r="I8" s="58"/>
      <c r="J8" s="58"/>
      <c r="K8" s="62"/>
      <c r="L8" s="107"/>
    </row>
    <row r="9" spans="1:14" x14ac:dyDescent="0.35">
      <c r="B9" s="71"/>
      <c r="C9" s="35" t="s">
        <v>73</v>
      </c>
      <c r="D9" s="36">
        <v>3718389.14</v>
      </c>
      <c r="E9" s="89"/>
      <c r="F9" s="35" t="s">
        <v>78</v>
      </c>
      <c r="G9" s="36">
        <v>488481.84</v>
      </c>
      <c r="H9" s="106"/>
      <c r="I9" s="58"/>
      <c r="J9" s="58"/>
      <c r="K9" s="62"/>
      <c r="L9" s="107"/>
    </row>
    <row r="10" spans="1:14" x14ac:dyDescent="0.35">
      <c r="B10" s="91" t="s">
        <v>69</v>
      </c>
      <c r="C10" s="35" t="s">
        <v>44</v>
      </c>
      <c r="D10" s="36">
        <v>1006.72</v>
      </c>
      <c r="E10" s="73" t="s">
        <v>41</v>
      </c>
      <c r="F10" s="40"/>
      <c r="G10" s="74">
        <f>SUM(G11:G12)</f>
        <v>100909570.65000001</v>
      </c>
      <c r="H10" s="106"/>
      <c r="I10" s="58"/>
      <c r="J10" s="58"/>
      <c r="K10" s="62"/>
      <c r="L10" s="107"/>
    </row>
    <row r="11" spans="1:14" x14ac:dyDescent="0.35">
      <c r="A11" s="54"/>
      <c r="B11" s="90"/>
      <c r="C11" s="40" t="s">
        <v>74</v>
      </c>
      <c r="D11" s="41">
        <v>11044.49</v>
      </c>
      <c r="E11" s="81"/>
      <c r="F11" s="40" t="s">
        <v>49</v>
      </c>
      <c r="G11" s="41">
        <v>86545880</v>
      </c>
      <c r="H11" s="106"/>
      <c r="I11" s="58"/>
      <c r="J11" s="58"/>
      <c r="K11" s="62"/>
      <c r="L11" s="107"/>
    </row>
    <row r="12" spans="1:14" x14ac:dyDescent="0.35">
      <c r="A12" s="54"/>
      <c r="B12" s="73" t="s">
        <v>75</v>
      </c>
      <c r="C12" s="40"/>
      <c r="D12" s="84">
        <f>SUM(D13:D14)</f>
        <v>107928825.66</v>
      </c>
      <c r="E12" s="93"/>
      <c r="F12" s="40" t="s">
        <v>79</v>
      </c>
      <c r="G12" s="55">
        <v>14363690.65</v>
      </c>
      <c r="H12" s="106"/>
    </row>
    <row r="13" spans="1:14" x14ac:dyDescent="0.35">
      <c r="A13" s="54"/>
      <c r="B13" s="39"/>
      <c r="C13" s="40" t="s">
        <v>40</v>
      </c>
      <c r="D13" s="55">
        <v>46794804.109999999</v>
      </c>
      <c r="E13" s="40"/>
      <c r="F13" s="40"/>
      <c r="G13" s="94"/>
      <c r="H13" s="106"/>
    </row>
    <row r="14" spans="1:14" x14ac:dyDescent="0.35">
      <c r="A14" s="54"/>
      <c r="B14" s="48"/>
      <c r="C14" s="48" t="s">
        <v>45</v>
      </c>
      <c r="D14" s="51">
        <v>61134021.549999997</v>
      </c>
      <c r="E14" s="47"/>
      <c r="F14" s="48"/>
      <c r="G14" s="95"/>
      <c r="H14" s="106"/>
    </row>
    <row r="15" spans="1:14" x14ac:dyDescent="0.35">
      <c r="A15" s="54"/>
    </row>
    <row r="16" spans="1:14" x14ac:dyDescent="0.35">
      <c r="A16" s="54"/>
    </row>
  </sheetData>
  <mergeCells count="2">
    <mergeCell ref="L3:L11"/>
    <mergeCell ref="H3:H1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9836-E50A-4D5E-829E-4C30D3EC4820}">
  <dimension ref="A1:N14"/>
  <sheetViews>
    <sheetView showGridLines="0" zoomScale="145" zoomScaleNormal="145" workbookViewId="0">
      <selection activeCell="B3" sqref="B3:G3"/>
    </sheetView>
  </sheetViews>
  <sheetFormatPr defaultColWidth="9.08984375" defaultRowHeight="13" x14ac:dyDescent="0.35"/>
  <cols>
    <col min="1" max="1" width="9.08984375" style="3"/>
    <col min="2" max="2" width="21.81640625" style="3" bestFit="1" customWidth="1"/>
    <col min="3" max="3" width="24.08984375" style="3" bestFit="1" customWidth="1"/>
    <col min="4" max="4" width="17" style="2" bestFit="1" customWidth="1"/>
    <col min="5" max="5" width="16.453125" style="3" bestFit="1" customWidth="1"/>
    <col min="6" max="6" width="27.36328125" style="3" bestFit="1" customWidth="1"/>
    <col min="7" max="7" width="17" style="3" bestFit="1" customWidth="1"/>
    <col min="8" max="8" width="20.6328125" style="3" bestFit="1" customWidth="1"/>
    <col min="9" max="9" width="46.81640625" style="3" bestFit="1" customWidth="1"/>
    <col min="10" max="10" width="17.36328125" style="3" bestFit="1" customWidth="1"/>
    <col min="11" max="11" width="34.08984375" style="3" customWidth="1"/>
    <col min="12" max="12" width="64.36328125" style="3" bestFit="1" customWidth="1"/>
    <col min="13" max="14" width="26" style="3" customWidth="1"/>
    <col min="15" max="16384" width="9.08984375" style="3"/>
  </cols>
  <sheetData>
    <row r="1" spans="1:14" x14ac:dyDescent="0.35">
      <c r="I1" s="58"/>
      <c r="J1" s="58"/>
      <c r="K1" s="58"/>
    </row>
    <row r="2" spans="1:14" x14ac:dyDescent="0.35">
      <c r="C2" s="1"/>
      <c r="D2" s="4"/>
      <c r="E2" s="5"/>
      <c r="F2" s="5"/>
      <c r="G2" s="5"/>
      <c r="H2" s="5"/>
      <c r="I2" s="59"/>
      <c r="J2" s="59"/>
      <c r="K2" s="7"/>
      <c r="L2" s="7"/>
      <c r="M2" s="7"/>
      <c r="N2" s="7"/>
    </row>
    <row r="3" spans="1:14" x14ac:dyDescent="0.35">
      <c r="B3" s="96" t="s">
        <v>94</v>
      </c>
      <c r="C3" s="97" t="s">
        <v>60</v>
      </c>
      <c r="D3" s="100"/>
      <c r="E3" s="97" t="s">
        <v>93</v>
      </c>
      <c r="F3" s="101"/>
      <c r="G3" s="99">
        <v>45627</v>
      </c>
      <c r="H3" s="5"/>
      <c r="I3" s="60"/>
      <c r="J3" s="60"/>
      <c r="K3" s="61"/>
      <c r="L3" s="107" t="s">
        <v>58</v>
      </c>
      <c r="M3" s="8"/>
      <c r="N3" s="8"/>
    </row>
    <row r="4" spans="1:14" x14ac:dyDescent="0.35">
      <c r="B4" s="69" t="s">
        <v>30</v>
      </c>
      <c r="C4" s="33"/>
      <c r="D4" s="50">
        <f>SUM(D5+D9)</f>
        <v>109379942.83999999</v>
      </c>
      <c r="E4" s="76" t="s">
        <v>31</v>
      </c>
      <c r="F4" s="77"/>
      <c r="G4" s="78">
        <f>SUM(G5+G9)</f>
        <v>109379942.83999999</v>
      </c>
      <c r="H4" s="105" t="s">
        <v>92</v>
      </c>
      <c r="I4" s="60"/>
      <c r="J4" s="60"/>
      <c r="K4" s="61"/>
      <c r="L4" s="107"/>
      <c r="M4" s="8"/>
      <c r="N4" s="8"/>
    </row>
    <row r="5" spans="1:14" x14ac:dyDescent="0.35">
      <c r="B5" s="70" t="s">
        <v>32</v>
      </c>
      <c r="C5" s="35"/>
      <c r="D5" s="53">
        <f>SUM(D6:D8)</f>
        <v>820384.91</v>
      </c>
      <c r="E5" s="70" t="s">
        <v>33</v>
      </c>
      <c r="F5" s="35"/>
      <c r="G5" s="36">
        <f>SUM(G6:G8)</f>
        <v>919578.08000000007</v>
      </c>
      <c r="H5" s="105"/>
      <c r="I5" s="58"/>
      <c r="J5" s="58"/>
      <c r="K5" s="62"/>
      <c r="L5" s="107"/>
      <c r="M5" s="8"/>
      <c r="N5" s="8"/>
    </row>
    <row r="6" spans="1:14" x14ac:dyDescent="0.35">
      <c r="B6" s="34"/>
      <c r="C6" s="35" t="s">
        <v>81</v>
      </c>
      <c r="D6" s="36">
        <v>7</v>
      </c>
      <c r="E6" s="35"/>
      <c r="F6" s="35" t="s">
        <v>86</v>
      </c>
      <c r="G6" s="79">
        <v>6731.94</v>
      </c>
      <c r="H6" s="105"/>
      <c r="I6" s="60"/>
      <c r="J6" s="60"/>
      <c r="K6" s="62"/>
      <c r="L6" s="107"/>
      <c r="M6" s="8"/>
      <c r="N6" s="8"/>
    </row>
    <row r="7" spans="1:14" x14ac:dyDescent="0.35">
      <c r="B7" s="34"/>
      <c r="C7" s="35" t="s">
        <v>82</v>
      </c>
      <c r="D7" s="36">
        <v>501276.83</v>
      </c>
      <c r="E7" s="63"/>
      <c r="F7" s="35" t="s">
        <v>87</v>
      </c>
      <c r="G7" s="36">
        <v>360471.48</v>
      </c>
      <c r="H7" s="105"/>
      <c r="I7" s="58"/>
      <c r="J7" s="58"/>
      <c r="K7" s="57"/>
      <c r="L7" s="107"/>
      <c r="M7" s="8"/>
      <c r="N7" s="8"/>
    </row>
    <row r="8" spans="1:14" x14ac:dyDescent="0.35">
      <c r="B8" s="34"/>
      <c r="C8" s="35" t="s">
        <v>84</v>
      </c>
      <c r="D8" s="36">
        <v>319101.08</v>
      </c>
      <c r="E8" s="72"/>
      <c r="F8" s="35" t="s">
        <v>88</v>
      </c>
      <c r="G8" s="52">
        <v>552374.66</v>
      </c>
      <c r="H8" s="105"/>
      <c r="I8" s="58"/>
      <c r="J8" s="58"/>
      <c r="K8" s="62"/>
      <c r="L8" s="107"/>
    </row>
    <row r="9" spans="1:14" x14ac:dyDescent="0.35">
      <c r="B9" s="73" t="s">
        <v>75</v>
      </c>
      <c r="C9" s="40"/>
      <c r="D9" s="74">
        <f>SUM(D10:D12)</f>
        <v>108559557.92999999</v>
      </c>
      <c r="E9" s="73" t="s">
        <v>41</v>
      </c>
      <c r="F9" s="40"/>
      <c r="G9" s="80">
        <f>SUM(G10:G14)</f>
        <v>108460364.75999999</v>
      </c>
      <c r="H9" s="105"/>
      <c r="I9" s="58"/>
      <c r="J9" s="58"/>
      <c r="K9" s="62"/>
      <c r="L9" s="107"/>
    </row>
    <row r="10" spans="1:14" x14ac:dyDescent="0.35">
      <c r="B10" s="75" t="s">
        <v>69</v>
      </c>
      <c r="C10" s="40" t="s">
        <v>83</v>
      </c>
      <c r="D10" s="41">
        <v>64315927.329999998</v>
      </c>
      <c r="E10" s="39"/>
      <c r="F10" s="40" t="s">
        <v>49</v>
      </c>
      <c r="G10" s="41">
        <v>79875997.739999995</v>
      </c>
      <c r="H10" s="105"/>
      <c r="I10" s="58"/>
      <c r="J10" s="58"/>
      <c r="K10" s="62"/>
      <c r="L10" s="107"/>
    </row>
    <row r="11" spans="1:14" x14ac:dyDescent="0.35">
      <c r="A11" s="54"/>
      <c r="B11" s="39"/>
      <c r="C11" s="40" t="s">
        <v>85</v>
      </c>
      <c r="D11" s="41">
        <v>21372769.940000001</v>
      </c>
      <c r="E11" s="39"/>
      <c r="F11" s="40" t="s">
        <v>67</v>
      </c>
      <c r="G11" s="41">
        <v>-2603500</v>
      </c>
      <c r="H11" s="105"/>
      <c r="I11" s="58"/>
      <c r="J11" s="58"/>
      <c r="K11" s="62"/>
      <c r="L11" s="107"/>
    </row>
    <row r="12" spans="1:14" x14ac:dyDescent="0.35">
      <c r="B12" s="40"/>
      <c r="C12" s="40" t="s">
        <v>45</v>
      </c>
      <c r="D12" s="83">
        <v>22870860.66</v>
      </c>
      <c r="E12" s="39"/>
      <c r="F12" s="40" t="s">
        <v>89</v>
      </c>
      <c r="G12" s="19">
        <v>1800035.86</v>
      </c>
      <c r="H12" s="105"/>
    </row>
    <row r="13" spans="1:14" x14ac:dyDescent="0.35">
      <c r="A13" s="54"/>
      <c r="B13" s="40"/>
      <c r="C13" s="40"/>
      <c r="D13" s="55"/>
      <c r="E13" s="40"/>
      <c r="F13" s="40" t="s">
        <v>90</v>
      </c>
      <c r="G13" s="19">
        <v>7330593.3200000003</v>
      </c>
      <c r="H13" s="105"/>
    </row>
    <row r="14" spans="1:14" x14ac:dyDescent="0.35">
      <c r="B14" s="47"/>
      <c r="C14" s="48"/>
      <c r="D14" s="51"/>
      <c r="E14" s="48"/>
      <c r="F14" s="48" t="s">
        <v>91</v>
      </c>
      <c r="G14" s="51">
        <v>22057237.84</v>
      </c>
      <c r="H14" s="105"/>
    </row>
  </sheetData>
  <mergeCells count="2">
    <mergeCell ref="L3:L11"/>
    <mergeCell ref="H4:H14"/>
  </mergeCells>
  <phoneticPr fontId="10" type="noConversion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a803e51-b7dd-4b01-9f98-6ad769db2115}" enabled="0" method="" siteId="{ea803e51-b7dd-4b01-9f98-6ad769db21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Organograma</vt:lpstr>
      <vt:lpstr>Cálculos da Operação</vt:lpstr>
      <vt:lpstr>Segregação de Risco</vt:lpstr>
      <vt:lpstr>Dourada C. e A. SA</vt:lpstr>
      <vt:lpstr>Embracon Franchising</vt:lpstr>
      <vt:lpstr>Embrafisa Consul.</vt:lpstr>
      <vt:lpstr>GSJ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Reinaldo Passaro | Stocche Forbes Advogados</dc:creator>
  <cp:lastModifiedBy>Caue Costa Silva | Stocche Forbes Advogados</cp:lastModifiedBy>
  <dcterms:created xsi:type="dcterms:W3CDTF">2025-02-03T12:46:49Z</dcterms:created>
  <dcterms:modified xsi:type="dcterms:W3CDTF">2026-09-04T08:00:50Z</dcterms:modified>
</cp:coreProperties>
</file>