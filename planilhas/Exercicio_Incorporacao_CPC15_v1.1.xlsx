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1. Situação Antes" sheetId="2" state="visible" r:id="rId4"/>
    <sheet name="2. Incorporação CPC 15" sheetId="3" state="visible" r:id="rId5"/>
    <sheet name="3. Cash Out" sheetId="4" state="visible" r:id="rId6"/>
    <sheet name="4. Caixa PJ x PF" sheetId="5" state="visible" r:id="rId7"/>
    <sheet name="5. Alienação Futura" sheetId="6" state="visible" r:id="rId8"/>
    <sheet name="6. Segregação de Risco" sheetId="7" state="visible" r:id="rId9"/>
    <sheet name="Conclusã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<sst xmlns="http://schemas.openxmlformats.org/spreadsheetml/2006/main" count="361" uniqueCount="278">
  <si>
    <t xml:space="preserve">Premissas</t>
  </si>
  <si>
    <t xml:space="preserve">PREMISSAS GERAIS</t>
  </si>
  <si>
    <t xml:space="preserve">Data-base dos balanços</t>
  </si>
  <si>
    <t xml:space="preserve">30.06.2026</t>
  </si>
  <si>
    <t xml:space="preserve">Unidade</t>
  </si>
  <si>
    <t xml:space="preserve">R$ milhões</t>
  </si>
  <si>
    <t xml:space="preserve">Participação das Partes CNP na incorporação (relação de troca)</t>
  </si>
  <si>
    <t xml:space="preserve">Participação-alvo final das Partes CNP</t>
  </si>
  <si>
    <t xml:space="preserve">IRPJ/CSLL — ganho de capital PJ</t>
  </si>
  <si>
    <t xml:space="preserve">Dividendos declarados pela Embracon antes da incorporação</t>
  </si>
  <si>
    <t xml:space="preserve">SEGREGAÇÃO DO CUSTO — PROPORÇÃO DO EXEMPLO DELOITTE (ILUSTRATIVO)</t>
  </si>
  <si>
    <t xml:space="preserve">Valor justo do PL da CNP (exemplo DTT)</t>
  </si>
  <si>
    <t xml:space="preserve">Mais-valia / AVJ contida no exemplo (MV)</t>
  </si>
  <si>
    <t xml:space="preserve">% AVJ implícito no PL da CNP</t>
  </si>
  <si>
    <t xml:space="preserve">% contábil (sem AVJ)</t>
  </si>
  <si>
    <t xml:space="preserve">CASH OUT</t>
  </si>
  <si>
    <t xml:space="preserve">Preço por holding (venda à CNP Participações)</t>
  </si>
  <si>
    <t xml:space="preserve">DESTINAÇÃO DO CAIXA E APLICAÇÕES (PREMISSAS DO DRAFT — A VALIDAR)</t>
  </si>
  <si>
    <t xml:space="preserve">IRRF sobre dividendos ao sócio PF</t>
  </si>
  <si>
    <t xml:space="preserve">CDI (a.a.)</t>
  </si>
  <si>
    <t xml:space="preserve">% do CDI — aplicação na PJ (holding)</t>
  </si>
  <si>
    <t xml:space="preserve">% do CDI — aplicação na PF</t>
  </si>
  <si>
    <t xml:space="preserve">IR sobre rendimentos — PJ</t>
  </si>
  <si>
    <t xml:space="preserve">IR sobre rendimentos — PF</t>
  </si>
  <si>
    <t xml:space="preserve">Horizonte de comparação (anos)</t>
  </si>
  <si>
    <t xml:space="preserve">1. Situação antes da incorporação — balanços 30.06.2026</t>
  </si>
  <si>
    <t xml:space="preserve">BALANÇOS DE PARTIDA (R$ MILHÕES) </t>
  </si>
  <si>
    <t xml:space="preserve">SAVIAN</t>
  </si>
  <si>
    <t xml:space="preserve">JVFJ</t>
  </si>
  <si>
    <t xml:space="preserve">EMBRACON</t>
  </si>
  <si>
    <t xml:space="preserve">CNP CONSÓRCIO</t>
  </si>
  <si>
    <t xml:space="preserve">ATIVOS</t>
  </si>
  <si>
    <t xml:space="preserve">Circulante</t>
  </si>
  <si>
    <t xml:space="preserve">CPC 47 (despesas/comissões diferidas)</t>
  </si>
  <si>
    <t xml:space="preserve">Permanente</t>
  </si>
  <si>
    <t xml:space="preserve">Inv. Embracon</t>
  </si>
  <si>
    <t xml:space="preserve">Compensação (grupos de consórcio)</t>
  </si>
  <si>
    <t xml:space="preserve">PASSIVOS</t>
  </si>
  <si>
    <t xml:space="preserve">CPC 47 (receitas diferidas)</t>
  </si>
  <si>
    <t xml:space="preserve">Dividendos a pagar</t>
  </si>
  <si>
    <t xml:space="preserve">PATRIMÔNIO LÍQUIDO</t>
  </si>
  <si>
    <t xml:space="preserve">Capital</t>
  </si>
  <si>
    <t xml:space="preserve">Reservas</t>
  </si>
  <si>
    <t xml:space="preserve">(−) Dividendos declarados</t>
  </si>
  <si>
    <t xml:space="preserve">PASSIVOS + PL</t>
  </si>
  <si>
    <t xml:space="preserve">Check (Ativos − Passivos − PL)</t>
  </si>
  <si>
    <t xml:space="preserve">PROPORCIONALIDADE DOS PLs "NOMINAIS"</t>
  </si>
  <si>
    <t xml:space="preserve">Entidade</t>
  </si>
  <si>
    <t xml:space="preserve">PL 30.06.26</t>
  </si>
  <si>
    <t xml:space="preserve">% do PL combinado</t>
  </si>
  <si>
    <t xml:space="preserve">Embracon</t>
  </si>
  <si>
    <t xml:space="preserve">CNP Consórcio</t>
  </si>
  <si>
    <t xml:space="preserve">PL combinado</t>
  </si>
  <si>
    <t xml:space="preserve">2. Incorporação da CNP pela Embracon (CPC 15 — atos a valor contábil)</t>
  </si>
  <si>
    <t xml:space="preserve">RELAÇÃO DE TROCA E PARTICIPAÇÕES</t>
  </si>
  <si>
    <t xml:space="preserve">EMBRACON COMBINADA — BALANÇO APÓS (VALOR CONTÁBIL)</t>
  </si>
  <si>
    <t xml:space="preserve">Acionista</t>
  </si>
  <si>
    <t xml:space="preserve">Antes</t>
  </si>
  <si>
    <t xml:space="preserve">Após incorporação</t>
  </si>
  <si>
    <t xml:space="preserve">Linha</t>
  </si>
  <si>
    <t xml:space="preserve">CNP</t>
  </si>
  <si>
    <t xml:space="preserve">Combinada</t>
  </si>
  <si>
    <t xml:space="preserve">Cia. Savian</t>
  </si>
  <si>
    <t xml:space="preserve">Ativo circulante</t>
  </si>
  <si>
    <t xml:space="preserve">Cia. JVFJ</t>
  </si>
  <si>
    <t xml:space="preserve">Ativo CPC 47</t>
  </si>
  <si>
    <t xml:space="preserve">Partes CNP (ações novas)</t>
  </si>
  <si>
    <t xml:space="preserve">Total</t>
  </si>
  <si>
    <t xml:space="preserve">Compensação (ativo)</t>
  </si>
  <si>
    <t xml:space="preserve">Passivo circulante</t>
  </si>
  <si>
    <t xml:space="preserve">REFLEXO NAS HOLDINGS (MEP) — CUSTO DO INVESTIMENTO</t>
  </si>
  <si>
    <t xml:space="preserve">Passivo CPC 47</t>
  </si>
  <si>
    <t xml:space="preserve">Item</t>
  </si>
  <si>
    <t xml:space="preserve">Por holding</t>
  </si>
  <si>
    <t xml:space="preserve">Total (2 holdings)</t>
  </si>
  <si>
    <t xml:space="preserve">Investimento anterior (custo original — "magrinho")</t>
  </si>
  <si>
    <t xml:space="preserve">Compensação (passivo)</t>
  </si>
  <si>
    <t xml:space="preserve">(+) Incorporação base (reflexo do PL contábil da CNP ÷ 2)</t>
  </si>
  <si>
    <t xml:space="preserve">Capital social</t>
  </si>
  <si>
    <t xml:space="preserve">(−) Diluição (13,8% sobre investimento + base)</t>
  </si>
  <si>
    <t xml:space="preserve">(=) Parcela incorporada (líquida)</t>
  </si>
  <si>
    <t xml:space="preserve">(−) Dividendos</t>
  </si>
  <si>
    <t xml:space="preserve">(=) Custo final do investimento ("gordinho")</t>
  </si>
  <si>
    <t xml:space="preserve">Check: 43,1% × PL combinado</t>
  </si>
  <si>
    <t xml:space="preserve">Check (A − P − PL)</t>
  </si>
  <si>
    <t xml:space="preserve">LANÇAMENTOS CONTÁBEIS NAS HOLDINGS (CADA UMA)</t>
  </si>
  <si>
    <t xml:space="preserve">Lançamento</t>
  </si>
  <si>
    <t xml:space="preserve">Débito</t>
  </si>
  <si>
    <t xml:space="preserve">Crédito</t>
  </si>
  <si>
    <t xml:space="preserve">1. Reflexo da incorporação — Inv. Embracon</t>
  </si>
  <si>
    <t xml:space="preserve">2. Perda de diluição — Inv. Embracon</t>
  </si>
  <si>
    <t xml:space="preserve">Efeito líquido no investimento</t>
  </si>
  <si>
    <t xml:space="preserve">SEGREGAÇÃO DE RISCO DO CUSTO </t>
  </si>
  <si>
    <t xml:space="preserve">Camada</t>
  </si>
  <si>
    <t xml:space="preserve">Antes)</t>
  </si>
  <si>
    <t xml:space="preserve">Depois </t>
  </si>
  <si>
    <t xml:space="preserve">Δ (2 holdings)</t>
  </si>
  <si>
    <t xml:space="preserve">1. Investimento antigo (PL Embracon) — perda de diluição</t>
  </si>
  <si>
    <t xml:space="preserve">2. Reflexo do PL contábil da CNP (menor risco)</t>
  </si>
  <si>
    <t xml:space="preserve">3. Reflexo da parcela AVJ implícita (maior risco)</t>
  </si>
  <si>
    <t xml:space="preserve">Novo Embracon (soma)</t>
  </si>
  <si>
    <t xml:space="preserve">3. Cash out — venda de 26,2% à CNP (etapa 2, simultânea)</t>
  </si>
  <si>
    <t xml:space="preserve">PARÂMETROS DA ETAPA</t>
  </si>
  <si>
    <t xml:space="preserve">Pontos percentuais vendidos — total (40% − 13,8%)</t>
  </si>
  <si>
    <t xml:space="preserve">Pontos percentuais vendidos — por holding</t>
  </si>
  <si>
    <t xml:space="preserve">Participação de cada holding após a incorporação</t>
  </si>
  <si>
    <t xml:space="preserve">Fração alienada do investimento (13,1 ÷ 43,1)</t>
  </si>
  <si>
    <t xml:space="preserve">Preço por holding</t>
  </si>
  <si>
    <t xml:space="preserve">PARTICIPAÇÕES: APÓS INCORPORAÇÃO / VENDA / FINAL</t>
  </si>
  <si>
    <t xml:space="preserve">Após incorp.</t>
  </si>
  <si>
    <t xml:space="preserve">Venda</t>
  </si>
  <si>
    <t xml:space="preserve">Final</t>
  </si>
  <si>
    <t xml:space="preserve">Partes CNP</t>
  </si>
  <si>
    <t xml:space="preserve">GANHO DE CAPITAL — DUAS HIPÓTESES DE CUSTO</t>
  </si>
  <si>
    <t xml:space="preserve">Hip. A — custo original</t>
  </si>
  <si>
    <t xml:space="preserve">Hip. B — custo incrementado</t>
  </si>
  <si>
    <t xml:space="preserve">Hip. A</t>
  </si>
  <si>
    <t xml:space="preserve">Hip. B</t>
  </si>
  <si>
    <t xml:space="preserve">Preço da alienação</t>
  </si>
  <si>
    <t xml:space="preserve">Custo total do investimento</t>
  </si>
  <si>
    <t xml:space="preserve">Custo alocado à parcela alienada (× fração 30,39%)</t>
  </si>
  <si>
    <t xml:space="preserve">Ganho de capital</t>
  </si>
  <si>
    <t xml:space="preserve">IRPJ/CSLL (34%)</t>
  </si>
  <si>
    <t xml:space="preserve">Líquido do imposto (preço − IR)</t>
  </si>
  <si>
    <t xml:space="preserve">Alíquota efetiva sobre o preço</t>
  </si>
  <si>
    <t xml:space="preserve">Custo remanescente (para a alienação futura)</t>
  </si>
  <si>
    <t xml:space="preserve">Economia de IR da Hipótese B nesta etapa</t>
  </si>
  <si>
    <t xml:space="preserve">4. Destinação do caixa do cash out — manter na PJ x distribuir à PF</t>
  </si>
  <si>
    <t xml:space="preserve">BASE</t>
  </si>
  <si>
    <t xml:space="preserve">Líquido do cash out na holding (após IR de 34%)</t>
  </si>
  <si>
    <t xml:space="preserve">IRRF na distribuição de dividendos à PF (10%)</t>
  </si>
  <si>
    <t xml:space="preserve">Líquido disponível na PF</t>
  </si>
  <si>
    <t xml:space="preserve">APLICAÇÃO FINANCEIRA (ILUSTRAÇÃO DE 2 ANOS)</t>
  </si>
  <si>
    <t xml:space="preserve">Manter na PJ</t>
  </si>
  <si>
    <t xml:space="preserve">Distribuir à PF</t>
  </si>
  <si>
    <t xml:space="preserve">Saldo inicial</t>
  </si>
  <si>
    <t xml:space="preserve">Ano 1 — rendimento bruto</t>
  </si>
  <si>
    <t xml:space="preserve">Ano 1 — IR sobre o rendimento</t>
  </si>
  <si>
    <t xml:space="preserve">Saldo ao fim do ano 1</t>
  </si>
  <si>
    <t xml:space="preserve">Ano 2 — rendimento bruto</t>
  </si>
  <si>
    <t xml:space="preserve">Ano 2 — IR sobre o rendimento</t>
  </si>
  <si>
    <t xml:space="preserve">Saldo ao fim do ano 2</t>
  </si>
  <si>
    <t xml:space="preserve">Vantagem de manter na PJ (fim do ano 2)</t>
  </si>
  <si>
    <t xml:space="preserve">5. Alienação futura (cenário hipotético)</t>
  </si>
  <si>
    <t xml:space="preserve">BASE (POR HOLDING)</t>
  </si>
  <si>
    <t xml:space="preserve">Participação remanescente</t>
  </si>
  <si>
    <t xml:space="preserve">Custo remanescente — Hip. A (custo original)</t>
  </si>
  <si>
    <t xml:space="preserve">Custo remanescente — Hip. B (custo incrementado)</t>
  </si>
  <si>
    <t xml:space="preserve">Diferença de custo (B − A)</t>
  </si>
  <si>
    <t xml:space="preserve">SENSIBILIDADE — PREÇO DA VENDA FUTURA (POR HOLDING, R$ MILHÕES)</t>
  </si>
  <si>
    <t xml:space="preserve">Preço da venda futura (editável)</t>
  </si>
  <si>
    <t xml:space="preserve">Ganho de capital — Hip. A</t>
  </si>
  <si>
    <t xml:space="preserve">IRPJ/CSLL 34% — Hip. A</t>
  </si>
  <si>
    <t xml:space="preserve">Ganho de capital — Hip. B</t>
  </si>
  <si>
    <t xml:space="preserve">IRPJ/CSLL 34% — Hip. B</t>
  </si>
  <si>
    <t xml:space="preserve">Economia de IR da Hip. B (A − B)</t>
  </si>
  <si>
    <t xml:space="preserve">Idem, total 2 holdings</t>
  </si>
  <si>
    <t xml:space="preserve">6. Segregação de risco do custo do investimento — CPC 15 × CPC 19 e venda futura dos 60% (reprodução dos quadros da MLA)</t>
  </si>
  <si>
    <t xml:space="preserve">PREMISSAS DESTA ABA (VINCULADAS ÀS DEMAIS ABAS; AZUL = INPUT DO EXERCÍCIO DTT/MLA)</t>
  </si>
  <si>
    <t xml:space="preserve">PL da Embracon 30.06.26 (com dividendos)</t>
  </si>
  <si>
    <t xml:space="preserve">aba 1</t>
  </si>
  <si>
    <t xml:space="preserve">PL da CNP 30.06.26</t>
  </si>
  <si>
    <t xml:space="preserve">PL combinado (Embracon + CNP)</t>
  </si>
  <si>
    <t xml:space="preserve">Participação das Partes CNP na incorporação</t>
  </si>
  <si>
    <t xml:space="preserve">Participação final das Partes CNP (pós cash out)</t>
  </si>
  <si>
    <t xml:space="preserve">Participação final das holdings (posição remanescente)</t>
  </si>
  <si>
    <t xml:space="preserve">IRPJ/CSLL sobre ganho de capital (PJ)</t>
  </si>
  <si>
    <t xml:space="preserve">% contábil do PL da CNP (proporção DTT: 566 ÷ 866)</t>
  </si>
  <si>
    <t xml:space="preserve">% AVJ implícito no PL da CNP (proporção DTT: 300 ÷ 866)</t>
  </si>
  <si>
    <t xml:space="preserve">VJ da JO — 100% (exercício DTT)</t>
  </si>
  <si>
    <t xml:space="preserve">draft O90 — input</t>
  </si>
  <si>
    <t xml:space="preserve">VJ da CNP (exercício DTT)</t>
  </si>
  <si>
    <t xml:space="preserve">Premissas (866)</t>
  </si>
  <si>
    <t xml:space="preserve">VJ da Embracon (residual = VJ JO − VJ CNP)</t>
  </si>
  <si>
    <t xml:space="preserve">draft O92</t>
  </si>
  <si>
    <t xml:space="preserve">Custo antigo baixado na secundária — critério do draft (13,1% × custo, 2 holdings)</t>
  </si>
  <si>
    <t xml:space="preserve">draft F100: 239,5 × 13,1% = 31,4 (a aba 3 usa rateio 13,1/43,1)</t>
  </si>
  <si>
    <t xml:space="preserve">Custo do investimento das PFs nas holdings (draft: 18)</t>
  </si>
  <si>
    <t xml:space="preserve">draft Z78 — input</t>
  </si>
  <si>
    <t xml:space="preserve">Alíquota simplificada de IRPF sobre o ganho (venda pela PF)</t>
  </si>
  <si>
    <t xml:space="preserve">draft — input</t>
  </si>
  <si>
    <t xml:space="preserve">Preço de venda futura dos 60% — cenário (i) inferior ao EV</t>
  </si>
  <si>
    <t xml:space="preserve">input</t>
  </si>
  <si>
    <t xml:space="preserve">Preço de venda futura dos 60% — cenário (ii) = VJ da posição (60% × VJ JO)</t>
  </si>
  <si>
    <t xml:space="preserve">3.532,8</t>
  </si>
  <si>
    <t xml:space="preserve">Preço de venda futura dos 60% — cenário (iii) superior ao EV</t>
  </si>
  <si>
    <t xml:space="preserve">A. CPC 15 — SEGREGAÇÃO DE RISCO DO CUSTO DO INVESTIMENTO (POSIÇÃO FINAL DE 60%) — QUADRO 'MLA - SEGREGAÇÃO RISCO CUSTO DO INVESTIMENTO'</t>
  </si>
  <si>
    <t xml:space="preserve">Camada do custo</t>
  </si>
  <si>
    <t xml:space="preserve">TOTAL (PL combinado)</t>
  </si>
  <si>
    <t xml:space="preserve">ANTES</t>
  </si>
  <si>
    <t xml:space="preserve">DEPOIS (60%)</t>
  </si>
  <si>
    <t xml:space="preserve">Δ</t>
  </si>
  <si>
    <t xml:space="preserve">LEITURA</t>
  </si>
  <si>
    <t xml:space="preserve">1. Inv Embracon — custo antigo</t>
  </si>
  <si>
    <t xml:space="preserve">Custo histórico das holdings menos o custo baixado na secundária (31,4). No draft, rotulado 'PERDA DILUIÇÃO'. Camada incontroversa.</t>
  </si>
  <si>
    <t xml:space="preserve">2. Inv CNP (PL contábil) — reflexo PL</t>
  </si>
  <si>
    <t xml:space="preserve">Reflexo do PL contábil da CNP: residual para fechar 60% × PL combinado (draft T85 = 646,9 − 208,1 − 174,3). Neutralidade defensável (MEP / variação de participação) — risco menor.</t>
  </si>
  <si>
    <t xml:space="preserve">3. Inv CNP (AVJ) — reflexo AVJ</t>
  </si>
  <si>
    <t xml:space="preserve">Reflexo da parcela AVJ implícita no PL da CNP (34,6%), proporcional à posição (60% × 290,6). Maior risco de requalificação (AVJ reflexo).</t>
  </si>
  <si>
    <t xml:space="preserve">NOVO EMBRACON — custo do investimento (Hipótese B, 'gordinho')</t>
  </si>
  <si>
    <t xml:space="preserve">DEPOIS = 60% × PL combinado (1.078,2 × 60% = 646,9): é o custo incrementado da posição remanescente — o mesmo 'custo remanescente B' da aba 3, na visão do draft.</t>
  </si>
  <si>
    <t xml:space="preserve">Check: soma das camadas − 60% × PL combinado</t>
  </si>
  <si>
    <t xml:space="preserve">Memo (draft S85): Inv Embracon depois + AVJ depois</t>
  </si>
  <si>
    <t xml:space="preserve">382,4 — as duas camadas 'diretas'; o reflexo PL é o que sobra (T85 = 264,5).</t>
  </si>
  <si>
    <t xml:space="preserve">Memo: alíquota × camadas de reflexo (IR potencial se negadas): reflexo PL · reflexo AVJ</t>
  </si>
  <si>
    <t xml:space="preserve">89,9 e 59,3 — são exatamente os 'degraus' dos riscos 1 e 2 do bloco D.</t>
  </si>
  <si>
    <t xml:space="preserve">B. CPC 19 — SEGREGAÇÃO DO AVJ REFLEXO NAS HOLDINGS (JOINT OPERATION) — QUADRO 'MLA - SEGREGAÇÃO AVJ REFLEXO HOLDINGS DA EMBRACON'</t>
  </si>
  <si>
    <t xml:space="preserve">100% JO</t>
  </si>
  <si>
    <t xml:space="preserve">60% (holdings)</t>
  </si>
  <si>
    <t xml:space="preserve">Inv JO (contábil) = PL Embracon + parcela contábil do PL da CNP</t>
  </si>
  <si>
    <t xml:space="preserve">Base contábil da JO (239,5 + 548,2 = 787,7); 60% = 472,6. É o custo fiscal 'magro' na JO — reflexo patrimonial.</t>
  </si>
  <si>
    <t xml:space="preserve">AVJ JO = VJ da JO − base contábil</t>
  </si>
  <si>
    <t xml:space="preserve">Reavaliação a valor justo de TODO o negócio (CNP e Embracon): 5.100,3; 60% = 3.060,2. Diferido em subconta; passivo fiscal diferido.</t>
  </si>
  <si>
    <t xml:space="preserve">NOVO EMBRACON a valor justo (Inv JO)</t>
  </si>
  <si>
    <t xml:space="preserve">5.888 (100%) e 3.532,8 (60%) — valor pelo qual as holdings reconhecem a participação no CPC 19.</t>
  </si>
  <si>
    <t xml:space="preserve">'Carimbo': tributação diferida do AVJ (34%)</t>
  </si>
  <si>
    <t xml:space="preserve">1.040,5 nos 60% — devido na realização (alienação/baixa), qualquer que seja o preço; é o piso da carga no CPC 19.</t>
  </si>
  <si>
    <t xml:space="preserve">C. VENDA FUTURA DOS 60% — PJ × PF × CPC 15 / CPC 19 — QUADRO 'VENDA PJ / VENDA PF'</t>
  </si>
  <si>
    <t xml:space="preserve">Preço da venda (60%)</t>
  </si>
  <si>
    <t xml:space="preserve">CPC 15 — venda pela PJ</t>
  </si>
  <si>
    <t xml:space="preserve">CPC 19 — venda pela PJ</t>
  </si>
  <si>
    <t xml:space="preserve">CPC 15 — venda pela PF</t>
  </si>
  <si>
    <t xml:space="preserve">CPC 19 — venda pela PF</t>
  </si>
  <si>
    <t xml:space="preserve">Preço inferior ao EV: no CPC 19 o carimbo (1.040) prevalece sobre 34% × ganho; no CPC 15 tributa-se só o ganho sobre o custo 'gordinho' (646,9).</t>
  </si>
  <si>
    <t xml:space="preserve">Preço = VJ da posição: CPC 15 981 × CPC 19 1.040 — a diferença (59,3) é 34% × camada AVJ (174,3): no CPC 19 o AVJ da própria Embracon é tributado; no CPC 15 não é reavaliado.</t>
  </si>
  <si>
    <t xml:space="preserve">Preço superior ao EV: CPC 19 = 34% × (preço − 472,6) — tributa integralmente o excedente sobre a base contábil; PF paga o carimbo na holding + 22,5% sobre o excedente acima do VJ.</t>
  </si>
  <si>
    <t xml:space="preserve">Fórmulas: CPC 15 PJ = (preço − custo gordinho 646,9) × 34% · CPC 19 PJ = máximo entre o carimbo (1.040,5) e (preço − base contábil 472,6) × 34% · CPC 15 PF = (preço − custo PF 18) × 22,5% · CPC 19 PF = carimbo + 22,5% × excedente sobre o VJ. No draft, os valores de CPC 19 a 1.000 e a 3.533 estão 'travados' no carimbo — aqui generalizado pela função MÁXIMO.</t>
  </si>
  <si>
    <t xml:space="preserve">D. CPC 15 — TESTE DE RISCO: SE O FISCO NEGAR AS CAMADAS DE REFLEXO (VENDA PELA PJ) — QUADROS 'VENDA PJ - RISCO 2' E 'RISCO 1'</t>
  </si>
  <si>
    <t xml:space="preserve">Custo gordinho (3 camadas)</t>
  </si>
  <si>
    <t xml:space="preserve">RISCO 2 — nega a camada AVJ</t>
  </si>
  <si>
    <t xml:space="preserve">RISCO 1 — nega AVJ e PL</t>
  </si>
  <si>
    <t xml:space="preserve">CPC 19 (referência)</t>
  </si>
  <si>
    <t xml:space="preserve">Custo aceito: 646,9 → 472,6 (risco 2) → 208,1 (risco 1). Cada degrau de IR = 34% × camada negada (59,3 pela AVJ; 89,9 pelo reflexo PL).</t>
  </si>
  <si>
    <t xml:space="preserve">A preço = VJ: 981 → 1.040 → 1.130. Note que RISCO 2 (CPC 15 sem a camada AVJ) coincide com o CPC 19: ambos partem do custo contábil de 472,6.</t>
  </si>
  <si>
    <t xml:space="preserve">A preço superior: os degraus se mantêm (59,3 e 89,9) — o risco é fixo em valor, independe do preço.</t>
  </si>
  <si>
    <t xml:space="preserve">E. CPC 19 — CONFERÊNCIA DA CARGA NA VENDA A PREÇO INFERIOR AO VJ (QUADRO AUXILIAR 'BAIXA / ENTRA / RESULTADO' DO DRAFT)</t>
  </si>
  <si>
    <t xml:space="preserve">Item (preço do cenário i)</t>
  </si>
  <si>
    <t xml:space="preserve">Valor</t>
  </si>
  <si>
    <t xml:space="preserve">Baixa da base contábil da JO (60%)</t>
  </si>
  <si>
    <t xml:space="preserve">Baixa do custo contábil (472,6).</t>
  </si>
  <si>
    <t xml:space="preserve">Baixa do AVJ reconhecido (60%)</t>
  </si>
  <si>
    <t xml:space="preserve">Baixa da reavaliação (3.060,2) — o ativo estava a VJ.</t>
  </si>
  <si>
    <t xml:space="preserve">Entrada: preço de venda</t>
  </si>
  <si>
    <t xml:space="preserve">Cenário (i).</t>
  </si>
  <si>
    <t xml:space="preserve">Resultado contábil da venda</t>
  </si>
  <si>
    <t xml:space="preserve">Prejuízo contábil de 2.532,8 ao vender abaixo do VJ.</t>
  </si>
  <si>
    <t xml:space="preserve">IR/CS sobre o resultado contábil (34%)</t>
  </si>
  <si>
    <t xml:space="preserve">Crédito teórico de 861,2 — só se o prejuízo fosse integralmente aproveitável.</t>
  </si>
  <si>
    <t xml:space="preserve">(+) Tributação do AVJ carimbado (34% × 3.060,2)</t>
  </si>
  <si>
    <t xml:space="preserve">O ganho diferido é realizado na alienação: 1.040,5.</t>
  </si>
  <si>
    <t xml:space="preserve">Carga líquida teórica (se o prejuízo compensasse)</t>
  </si>
  <si>
    <t xml:space="preserve">179,3 = 34% × (1.000 − 472,6): equivale a tributar só o ganho econômico.</t>
  </si>
  <si>
    <t xml:space="preserve">Memo: 34% × (preço − base contábil)</t>
  </si>
  <si>
    <t xml:space="preserve">Conferência: igual à linha anterior (draft X98 'ir/cs gk').</t>
  </si>
  <si>
    <t xml:space="preserve">Carga adotada na tabela (piso = carimbo)</t>
  </si>
  <si>
    <t xml:space="preserve">Conservador: a perda na venda abaixo do VJ não compensa de imediato (prejuízo fiscal limitado a 30%/ano) — por isso o draft trava 1.040 nos preços ≤ VJ.</t>
  </si>
  <si>
    <t xml:space="preserve">Memo (draft X100): ganho × 34% + carimbo, sem compensar a perda</t>
  </si>
  <si>
    <t xml:space="preserve">1.219,8 — leitura mais gravosa, se o AVJ e o ganho fossem tributados separadamente sem aproveitar a perda.</t>
  </si>
  <si>
    <t xml:space="preserve">F. LEITURA — O QUE OS QUADROS DA MLA DEMONSTRAM</t>
  </si>
  <si>
    <t xml:space="preserve">CPC 15 (custo)</t>
  </si>
  <si>
    <t xml:space="preserve">O custo 'gordinho' da posição de 60% (646,9) não é homogêneo: 208,1 é custo histórico incontroverso; 264,5 é reflexo do PL contábil da CNP (tese de neutralidade do MEP/variação de participação); 174,3 é reflexo da parcela AVJ implícita — a camada mais exposta. Os quadros RISCO 2 e RISCO 1 medem o IR adicional se o fisco negar uma ou as duas camadas (+59,3 e +149,2 em qualquer preço).</t>
  </si>
  <si>
    <t xml:space="preserve">CPC 19 (JO)</t>
  </si>
  <si>
    <t xml:space="preserve">As holdings reconhecem 60% do VJ de todo o negócio (3.532,8): base contábil 472,6 + AVJ 3.060,2. O AVJ fica 'carimbado' a 34% (1.040,5) em subconta, com passivo diferido, e é devido na realização — piso da carga em qualquer preço. Acima do VJ, tributa-se 34% do excedente sobre a base contábil.</t>
  </si>
  <si>
    <t xml:space="preserve">CPC 15 × CPC 19</t>
  </si>
  <si>
    <t xml:space="preserve">No preço = VJ (3.533): 981 × 1.040 (PJ). A diferença é 34% × 174,3 — o CPC 19 equivale ao CPC 15 com a camada AVJ negada (RISCO 2), porque no CPC 15 o patrimônio da Embracon não é reavaliado e a mais-valia fica limitada ao PL da CNP.</t>
  </si>
  <si>
    <t xml:space="preserve">Venda pela PF</t>
  </si>
  <si>
    <t xml:space="preserve">No CPC 15, vender pelas PFs (22,5% sobre preço − 18) reduz a carga (791 × 981 no VJ), mas exige 'subir pra física' (redução de capital/liquidação das holdings — não modelado). No CPC 19, a PF não escapa do carimbo: paga 1.040 na holding mais 22,5% sobre o que exceder o VJ — por isso 'cai a tese' de vender pela PF.</t>
  </si>
  <si>
    <t xml:space="preserve">Atualização 31.07 (draft2 v3)</t>
  </si>
  <si>
    <t xml:space="preserve">Com PL de 254,0, VJ acordado de 5.954,8 e custo baixado de 66,6 (26,2%): custo 60% = 655,7 (187,5 + 293,9 + 174,3); JO contábil 481,3 e AVJ 3.091,6 (carimbo 1.051,1); venda ao VJ (3.572,9): CPC 15 991,9 × CPC 19 1.051,1 (PJ) e 799,8 × 1.051,1 (PF). Os degraus de risco passam a 59,3 (AVJ) e 99,9 (PL). Para reproduzir aqui, basta alterar as premissas azuis/vinculadas.</t>
  </si>
  <si>
    <t xml:space="preserve">Conclusão — síntese das duas hipóteses de custo</t>
  </si>
  <si>
    <t xml:space="preserve">SÍNTESE (TOTAL DAS 2 HOLDINGS, R$ MILHÕES)</t>
  </si>
  <si>
    <t xml:space="preserve">Δ (economia B)</t>
  </si>
  <si>
    <t xml:space="preserve">Custo total do investimento após a incorporação</t>
  </si>
  <si>
    <t xml:space="preserve">IR no cash out (etapa 3)</t>
  </si>
  <si>
    <t xml:space="preserve">Custo remanescente para o passo F</t>
  </si>
  <si>
    <t xml:space="preserve">Economia futura máxima da Hip. B (34% × Δ custo remanescente)</t>
  </si>
  <si>
    <t xml:space="preserve">BENEFÍCIO TOTAL DA TESE DO CUSTO "GORDINHO"</t>
  </si>
  <si>
    <t xml:space="preserve">Check: 34% × parcela incorporada total (689,94)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</si>
</sst>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.00;[RED]\(#,##0.00\)"/>
    <numFmt numFmtId="167" formatCode="0.00%"/>
    <numFmt numFmtId="168" formatCode="0"/>
    <numFmt numFmtId="169" formatCode="#,##0.0;[RED]\(#,##0.0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sz val="9"/>
      <color theme="1"/>
      <name val="Calibri"/>
      <family val="2"/>
      <charset val="1"/>
    </font>
    <font>
      <b val="true"/>
      <sz val="9"/>
      <name val="Calibri"/>
      <family val="0"/>
      <charset val="1"/>
    </font>
    <font>
      <b val="true"/>
      <sz val="9"/>
      <color theme="1"/>
      <name val="Calibri"/>
      <family val="2"/>
      <charset val="1"/>
    </font>
    <font>
      <i val="true"/>
      <sz val="9"/>
      <name val="Calibri"/>
      <family val="0"/>
      <charset val="1"/>
    </font>
    <font>
      <b val="true"/>
      <sz val="9"/>
      <color rgb="FFFFFFFF"/>
      <name val="Calibri"/>
      <family val="2"/>
      <charset val="1"/>
    </font>
    <font>
      <i val="true"/>
      <sz val="9"/>
      <color rgb="FF7F7F7F"/>
      <name val="Calibri"/>
      <family val="0"/>
      <charset val="1"/>
    </font>
    <font>
      <b val="true"/>
      <sz val="9"/>
      <name val="Calibri"/>
      <family val="2"/>
      <charset val="1"/>
    </font>
    <font>
      <b val="true"/>
      <sz val="12"/>
      <name val="Calibri"/>
      <family val="2"/>
      <charset val="1"/>
    </font>
    <font>
      <sz val="9"/>
      <color rgb="FF0000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AF0FB"/>
        <bgColor rgb="FFF2F2F2"/>
      </patternFill>
    </fill>
    <fill>
      <patternFill patternType="solid">
        <fgColor rgb="FFF2F2F2"/>
        <bgColor rgb="FFEAF0FB"/>
      </patternFill>
    </fill>
    <fill>
      <patternFill patternType="solid">
        <fgColor rgb="FFE8F3DC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AF0DA"/>
        <bgColor rgb="FFFFF2CC"/>
      </patternFill>
    </fill>
    <fill>
      <patternFill patternType="solid">
        <fgColor rgb="FFFFF2CC"/>
        <bgColor rgb="FFFAF0DA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medium">
        <color rgb="FFC9C9C9"/>
      </left>
      <right style="medium">
        <color rgb="FFC9C9C9"/>
      </right>
      <top style="medium">
        <color rgb="FFC9C9C9"/>
      </top>
      <bottom style="thin">
        <color rgb="FFC9C9C9"/>
      </bottom>
      <diagonal/>
    </border>
    <border diagonalUp="false" diagonalDown="false">
      <left style="medium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C9C9C9"/>
      </left>
      <right style="medium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medium">
        <color rgb="FFC9C9C9"/>
      </left>
      <right style="thin">
        <color rgb="FFC9C9C9"/>
      </right>
      <top style="thin">
        <color rgb="FFC9C9C9"/>
      </top>
      <bottom style="medium">
        <color rgb="FFC9C9C9"/>
      </bottom>
      <diagonal/>
    </border>
    <border diagonalUp="false" diagonalDown="false">
      <left style="thin">
        <color rgb="FFC9C9C9"/>
      </left>
      <right style="medium">
        <color rgb="FFC9C9C9"/>
      </right>
      <top style="thin">
        <color rgb="FFC9C9C9"/>
      </top>
      <bottom style="medium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7F7F7F"/>
      <rgbColor rgb="FF9999FF"/>
      <rgbColor rgb="FF993366"/>
      <rgbColor rgb="FFFFF2CC"/>
      <rgbColor rgb="FFEA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F3DC"/>
      <rgbColor rgb="FFFAF0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0"/>
  <sheetViews>
    <sheetView showFormulas="false" showGridLines="false" showRowColHeaders="true" showZeros="true" rightToLeft="false" tabSelected="true" showOutlineSymbols="true" defaultGridColor="true" view="normal" topLeftCell="A24" colorId="64" zoomScale="85" zoomScaleNormal="85" zoomScalePageLayoutView="100" workbookViewId="0">
      <selection pane="topLeft" activeCell="C6" activeCellId="0" sqref="C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52"/>
    <col collapsed="false" customWidth="true" hidden="false" outlineLevel="0" max="3" min="3" style="0" width="14"/>
  </cols>
  <sheetData>
    <row r="1" customFormat="false" ht="15" hidden="false" customHeight="true" outlineLevel="0" collapsed="false">
      <c r="B1" s="1" t="s">
        <v>0</v>
      </c>
    </row>
    <row r="3" customFormat="false" ht="15" hidden="false" customHeight="true" outlineLevel="0" collapsed="false">
      <c r="B3" s="2" t="s">
        <v>1</v>
      </c>
      <c r="C3" s="2"/>
    </row>
    <row r="4" customFormat="false" ht="14.25" hidden="false" customHeight="false" outlineLevel="0" collapsed="false">
      <c r="B4" s="3" t="s">
        <v>2</v>
      </c>
      <c r="C4" s="4" t="s">
        <v>3</v>
      </c>
    </row>
    <row r="5" customFormat="false" ht="14.25" hidden="false" customHeight="false" outlineLevel="0" collapsed="false">
      <c r="B5" s="5" t="s">
        <v>4</v>
      </c>
      <c r="C5" s="6" t="s">
        <v>5</v>
      </c>
    </row>
    <row r="6" customFormat="false" ht="14.25" hidden="false" customHeight="false" outlineLevel="0" collapsed="false">
      <c r="B6" s="3" t="s">
        <v>6</v>
      </c>
      <c r="C6" s="7" t="n">
        <v>0.138</v>
      </c>
    </row>
    <row r="7" customFormat="false" ht="14.25" hidden="false" customHeight="false" outlineLevel="0" collapsed="false">
      <c r="B7" s="5" t="s">
        <v>7</v>
      </c>
      <c r="C7" s="8" t="n">
        <v>0.4</v>
      </c>
    </row>
    <row r="8" customFormat="false" ht="14.25" hidden="false" customHeight="false" outlineLevel="0" collapsed="false">
      <c r="B8" s="3" t="s">
        <v>8</v>
      </c>
      <c r="C8" s="7" t="n">
        <v>0.34</v>
      </c>
    </row>
    <row r="9" customFormat="false" ht="14.25" hidden="false" customHeight="false" outlineLevel="0" collapsed="false">
      <c r="B9" s="5" t="s">
        <v>9</v>
      </c>
      <c r="C9" s="9" t="n">
        <v>120</v>
      </c>
    </row>
    <row r="11" customFormat="false" ht="15" hidden="false" customHeight="true" outlineLevel="0" collapsed="false">
      <c r="B11" s="2" t="s">
        <v>10</v>
      </c>
      <c r="C11" s="2"/>
    </row>
    <row r="12" customFormat="false" ht="14.25" hidden="false" customHeight="false" outlineLevel="0" collapsed="false">
      <c r="B12" s="3" t="s">
        <v>11</v>
      </c>
      <c r="C12" s="10" t="n">
        <v>866</v>
      </c>
    </row>
    <row r="13" customFormat="false" ht="14.25" hidden="false" customHeight="false" outlineLevel="0" collapsed="false">
      <c r="B13" s="5" t="s">
        <v>12</v>
      </c>
      <c r="C13" s="9" t="n">
        <v>300</v>
      </c>
    </row>
    <row r="14" customFormat="false" ht="14.25" hidden="false" customHeight="false" outlineLevel="0" collapsed="false">
      <c r="B14" s="11" t="s">
        <v>13</v>
      </c>
      <c r="C14" s="12" t="n">
        <f aca="false">C13/C12</f>
        <v>0.346420323325635</v>
      </c>
    </row>
    <row r="15" customFormat="false" ht="14.25" hidden="false" customHeight="false" outlineLevel="0" collapsed="false">
      <c r="B15" s="13" t="s">
        <v>14</v>
      </c>
      <c r="C15" s="14" t="n">
        <f aca="false">1-C14</f>
        <v>0.653579676674365</v>
      </c>
    </row>
    <row r="17" customFormat="false" ht="15" hidden="false" customHeight="true" outlineLevel="0" collapsed="false">
      <c r="B17" s="2" t="s">
        <v>15</v>
      </c>
      <c r="C17" s="2"/>
    </row>
    <row r="18" customFormat="false" ht="14.25" hidden="false" customHeight="false" outlineLevel="0" collapsed="false">
      <c r="B18" s="3" t="s">
        <v>16</v>
      </c>
      <c r="C18" s="10" t="n">
        <v>600</v>
      </c>
    </row>
    <row r="20" customFormat="false" ht="15" hidden="false" customHeight="true" outlineLevel="0" collapsed="false">
      <c r="B20" s="2" t="s">
        <v>17</v>
      </c>
      <c r="C20" s="2"/>
    </row>
    <row r="21" customFormat="false" ht="14.25" hidden="false" customHeight="false" outlineLevel="0" collapsed="false">
      <c r="B21" s="3" t="s">
        <v>18</v>
      </c>
      <c r="C21" s="7" t="n">
        <v>0.1</v>
      </c>
    </row>
    <row r="22" customFormat="false" ht="14.25" hidden="false" customHeight="false" outlineLevel="0" collapsed="false">
      <c r="B22" s="5" t="s">
        <v>19</v>
      </c>
      <c r="C22" s="8" t="n">
        <v>0.12</v>
      </c>
    </row>
    <row r="23" customFormat="false" ht="14.25" hidden="false" customHeight="false" outlineLevel="0" collapsed="false">
      <c r="B23" s="3" t="s">
        <v>20</v>
      </c>
      <c r="C23" s="7" t="n">
        <v>1</v>
      </c>
    </row>
    <row r="24" customFormat="false" ht="14.25" hidden="false" customHeight="false" outlineLevel="0" collapsed="false">
      <c r="B24" s="5" t="s">
        <v>21</v>
      </c>
      <c r="C24" s="8" t="n">
        <v>1.05</v>
      </c>
    </row>
    <row r="25" customFormat="false" ht="14.25" hidden="false" customHeight="false" outlineLevel="0" collapsed="false">
      <c r="B25" s="3" t="s">
        <v>22</v>
      </c>
      <c r="C25" s="7" t="n">
        <v>0.34</v>
      </c>
    </row>
    <row r="26" customFormat="false" ht="14.25" hidden="false" customHeight="false" outlineLevel="0" collapsed="false">
      <c r="B26" s="5" t="s">
        <v>23</v>
      </c>
      <c r="C26" s="8" t="n">
        <v>0.27</v>
      </c>
    </row>
    <row r="27" customFormat="false" ht="14.25" hidden="false" customHeight="false" outlineLevel="0" collapsed="false">
      <c r="B27" s="3" t="s">
        <v>24</v>
      </c>
      <c r="C27" s="15" t="n">
        <v>2</v>
      </c>
    </row>
    <row r="29" customFormat="false" ht="15" hidden="false" customHeight="true" outlineLevel="0" collapsed="false">
      <c r="B29" s="16"/>
      <c r="C29" s="16"/>
    </row>
    <row r="30" customFormat="false" ht="14.25" hidden="false" customHeight="false" outlineLevel="0" collapsed="false">
      <c r="B30" s="16"/>
      <c r="C30" s="16"/>
    </row>
  </sheetData>
  <mergeCells count="5">
    <mergeCell ref="B3:C3"/>
    <mergeCell ref="B11:C11"/>
    <mergeCell ref="B17:C17"/>
    <mergeCell ref="B20:C20"/>
    <mergeCell ref="B29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.81"/>
    <col collapsed="false" customWidth="true" hidden="false" outlineLevel="0" max="2" min="2" style="0" width="38.27"/>
    <col collapsed="false" customWidth="true" hidden="false" outlineLevel="0" max="3" min="3" style="0" width="12.45"/>
    <col collapsed="false" customWidth="true" hidden="false" outlineLevel="0" max="4" min="4" style="0" width="2"/>
    <col collapsed="false" customWidth="true" hidden="false" outlineLevel="0" max="5" min="5" style="0" width="40.37"/>
    <col collapsed="false" customWidth="true" hidden="false" outlineLevel="0" max="6" min="6" style="0" width="12.45"/>
    <col collapsed="false" customWidth="true" hidden="false" outlineLevel="0" max="7" min="7" style="0" width="2"/>
    <col collapsed="false" customWidth="true" hidden="false" outlineLevel="0" max="8" min="8" style="0" width="35.73"/>
    <col collapsed="false" customWidth="true" hidden="false" outlineLevel="0" max="9" min="9" style="0" width="12.45"/>
    <col collapsed="false" customWidth="true" hidden="false" outlineLevel="0" max="10" min="10" style="0" width="2"/>
    <col collapsed="false" customWidth="true" hidden="false" outlineLevel="0" max="11" min="11" style="0" width="35.18"/>
    <col collapsed="false" customWidth="true" hidden="false" outlineLevel="0" max="12" min="12" style="0" width="12.45"/>
  </cols>
  <sheetData>
    <row r="1" customFormat="false" ht="49.5" hidden="false" customHeight="true" outlineLevel="0" collapsed="false">
      <c r="B1" s="17" t="s">
        <v>25</v>
      </c>
    </row>
    <row r="2" customFormat="false" ht="15" hidden="false" customHeight="true" outlineLevel="0" collapsed="false">
      <c r="B2" s="18" t="s">
        <v>26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4" customFormat="false" ht="15" hidden="false" customHeight="true" outlineLevel="0" collapsed="false">
      <c r="B4" s="19" t="s">
        <v>27</v>
      </c>
      <c r="C4" s="19"/>
      <c r="E4" s="19" t="s">
        <v>28</v>
      </c>
      <c r="F4" s="19"/>
      <c r="H4" s="19" t="s">
        <v>29</v>
      </c>
      <c r="I4" s="19"/>
      <c r="K4" s="19" t="s">
        <v>30</v>
      </c>
      <c r="L4" s="19"/>
    </row>
    <row r="5" customFormat="false" ht="14.25" hidden="false" customHeight="false" outlineLevel="0" collapsed="false">
      <c r="B5" s="20" t="s">
        <v>31</v>
      </c>
      <c r="C5" s="21" t="n">
        <f aca="false">SUM(C6:C10)</f>
        <v>119.744</v>
      </c>
      <c r="E5" s="20" t="s">
        <v>31</v>
      </c>
      <c r="F5" s="21" t="n">
        <f aca="false">SUM(F6:F10)</f>
        <v>119.744</v>
      </c>
      <c r="H5" s="20" t="s">
        <v>31</v>
      </c>
      <c r="I5" s="21" t="n">
        <f aca="false">SUM(I6:I10)</f>
        <v>26138.03</v>
      </c>
      <c r="K5" s="20" t="s">
        <v>31</v>
      </c>
      <c r="L5" s="21" t="n">
        <f aca="false">SUM(L6:L10)</f>
        <v>17611.435</v>
      </c>
    </row>
    <row r="6" customFormat="false" ht="14.25" hidden="false" customHeight="false" outlineLevel="0" collapsed="false">
      <c r="B6" s="22" t="s">
        <v>32</v>
      </c>
      <c r="C6" s="23"/>
      <c r="E6" s="22" t="s">
        <v>32</v>
      </c>
      <c r="F6" s="23"/>
      <c r="H6" s="22" t="s">
        <v>32</v>
      </c>
      <c r="I6" s="24" t="n">
        <v>328.578</v>
      </c>
      <c r="K6" s="22" t="s">
        <v>32</v>
      </c>
      <c r="L6" s="24" t="n">
        <v>945.234</v>
      </c>
    </row>
    <row r="7" customFormat="false" ht="14.25" hidden="false" customHeight="false" outlineLevel="0" collapsed="false">
      <c r="B7" s="22" t="s">
        <v>33</v>
      </c>
      <c r="C7" s="23"/>
      <c r="E7" s="22" t="s">
        <v>33</v>
      </c>
      <c r="F7" s="23"/>
      <c r="H7" s="22" t="s">
        <v>33</v>
      </c>
      <c r="I7" s="24" t="n">
        <v>1937.402</v>
      </c>
      <c r="K7" s="22" t="s">
        <v>33</v>
      </c>
      <c r="L7" s="24" t="n">
        <v>216.353</v>
      </c>
    </row>
    <row r="8" customFormat="false" ht="14.25" hidden="false" customHeight="false" outlineLevel="0" collapsed="false">
      <c r="B8" s="22" t="s">
        <v>34</v>
      </c>
      <c r="C8" s="23"/>
      <c r="E8" s="22" t="s">
        <v>34</v>
      </c>
      <c r="F8" s="23"/>
      <c r="H8" s="22" t="s">
        <v>34</v>
      </c>
      <c r="I8" s="24" t="n">
        <v>57.986</v>
      </c>
      <c r="K8" s="22" t="s">
        <v>34</v>
      </c>
      <c r="L8" s="24" t="n">
        <v>138.693</v>
      </c>
    </row>
    <row r="9" customFormat="false" ht="14.25" hidden="false" customHeight="false" outlineLevel="0" collapsed="false">
      <c r="B9" s="22" t="s">
        <v>35</v>
      </c>
      <c r="C9" s="25" t="n">
        <f aca="false">I18/2</f>
        <v>119.744</v>
      </c>
      <c r="E9" s="22" t="s">
        <v>35</v>
      </c>
      <c r="F9" s="25" t="n">
        <f aca="false">I18/2</f>
        <v>119.744</v>
      </c>
      <c r="H9" s="22" t="s">
        <v>35</v>
      </c>
      <c r="I9" s="26"/>
      <c r="K9" s="22" t="s">
        <v>35</v>
      </c>
      <c r="L9" s="26"/>
    </row>
    <row r="10" customFormat="false" ht="14.25" hidden="false" customHeight="false" outlineLevel="0" collapsed="false">
      <c r="B10" s="22" t="s">
        <v>36</v>
      </c>
      <c r="C10" s="23"/>
      <c r="E10" s="22" t="s">
        <v>36</v>
      </c>
      <c r="F10" s="23"/>
      <c r="H10" s="22" t="s">
        <v>36</v>
      </c>
      <c r="I10" s="24" t="n">
        <v>23814.064</v>
      </c>
      <c r="K10" s="22" t="s">
        <v>36</v>
      </c>
      <c r="L10" s="24" t="n">
        <v>16311.155</v>
      </c>
    </row>
    <row r="11" customFormat="false" ht="14.25" hidden="false" customHeight="false" outlineLevel="0" collapsed="false">
      <c r="B11" s="27"/>
      <c r="C11" s="23"/>
      <c r="E11" s="27"/>
      <c r="F11" s="23"/>
      <c r="H11" s="27"/>
      <c r="I11" s="23"/>
      <c r="K11" s="27"/>
      <c r="L11" s="23"/>
    </row>
    <row r="12" customFormat="false" ht="14.25" hidden="false" customHeight="false" outlineLevel="0" collapsed="false">
      <c r="B12" s="20" t="s">
        <v>37</v>
      </c>
      <c r="C12" s="21" t="n">
        <f aca="false">SUM(C13:C16)</f>
        <v>0</v>
      </c>
      <c r="E12" s="20" t="s">
        <v>37</v>
      </c>
      <c r="F12" s="21" t="n">
        <f aca="false">SUM(F13:F16)</f>
        <v>0</v>
      </c>
      <c r="H12" s="20" t="s">
        <v>37</v>
      </c>
      <c r="I12" s="21" t="n">
        <f aca="false">SUM(I13:I16)</f>
        <v>25898.882</v>
      </c>
      <c r="K12" s="20" t="s">
        <v>37</v>
      </c>
      <c r="L12" s="21" t="n">
        <f aca="false">SUM(L13:L16)</f>
        <v>16771.856</v>
      </c>
    </row>
    <row r="13" customFormat="false" ht="14.25" hidden="false" customHeight="false" outlineLevel="0" collapsed="false">
      <c r="B13" s="22" t="s">
        <v>32</v>
      </c>
      <c r="C13" s="23"/>
      <c r="E13" s="22" t="s">
        <v>32</v>
      </c>
      <c r="F13" s="23"/>
      <c r="H13" s="22" t="s">
        <v>32</v>
      </c>
      <c r="I13" s="24" t="n">
        <v>420.06</v>
      </c>
      <c r="K13" s="22" t="s">
        <v>32</v>
      </c>
      <c r="L13" s="24" t="n">
        <v>232.757</v>
      </c>
    </row>
    <row r="14" customFormat="false" ht="14.25" hidden="false" customHeight="false" outlineLevel="0" collapsed="false">
      <c r="B14" s="22" t="s">
        <v>38</v>
      </c>
      <c r="C14" s="23"/>
      <c r="E14" s="22" t="s">
        <v>38</v>
      </c>
      <c r="F14" s="23"/>
      <c r="H14" s="22" t="s">
        <v>38</v>
      </c>
      <c r="I14" s="24" t="n">
        <v>1544.758</v>
      </c>
      <c r="K14" s="22" t="s">
        <v>38</v>
      </c>
      <c r="L14" s="24" t="n">
        <v>227.944</v>
      </c>
    </row>
    <row r="15" customFormat="false" ht="14.25" hidden="false" customHeight="false" outlineLevel="0" collapsed="false">
      <c r="B15" s="22" t="s">
        <v>39</v>
      </c>
      <c r="C15" s="23"/>
      <c r="E15" s="22" t="s">
        <v>39</v>
      </c>
      <c r="F15" s="23"/>
      <c r="H15" s="22" t="s">
        <v>39</v>
      </c>
      <c r="I15" s="25" t="n">
        <f aca="false">Premissas!C9</f>
        <v>120</v>
      </c>
      <c r="K15" s="22" t="s">
        <v>39</v>
      </c>
      <c r="L15" s="26"/>
    </row>
    <row r="16" customFormat="false" ht="14.25" hidden="false" customHeight="false" outlineLevel="0" collapsed="false">
      <c r="B16" s="22" t="s">
        <v>36</v>
      </c>
      <c r="C16" s="23"/>
      <c r="E16" s="22" t="s">
        <v>36</v>
      </c>
      <c r="F16" s="23"/>
      <c r="H16" s="22" t="s">
        <v>36</v>
      </c>
      <c r="I16" s="25" t="n">
        <f aca="false">I10</f>
        <v>23814.064</v>
      </c>
      <c r="K16" s="22" t="s">
        <v>36</v>
      </c>
      <c r="L16" s="24" t="n">
        <f aca="false">L10</f>
        <v>16311.155</v>
      </c>
    </row>
    <row r="17" customFormat="false" ht="14.25" hidden="false" customHeight="false" outlineLevel="0" collapsed="false">
      <c r="B17" s="27"/>
      <c r="C17" s="23"/>
      <c r="E17" s="27"/>
      <c r="F17" s="23"/>
      <c r="H17" s="27"/>
      <c r="I17" s="23"/>
      <c r="K17" s="27"/>
      <c r="L17" s="23"/>
    </row>
    <row r="18" customFormat="false" ht="14.25" hidden="false" customHeight="false" outlineLevel="0" collapsed="false">
      <c r="B18" s="20" t="s">
        <v>40</v>
      </c>
      <c r="C18" s="21" t="n">
        <f aca="false">SUM(C19:C21)</f>
        <v>119.744</v>
      </c>
      <c r="E18" s="20" t="s">
        <v>40</v>
      </c>
      <c r="F18" s="21" t="n">
        <f aca="false">SUM(F19:F21)</f>
        <v>119.744</v>
      </c>
      <c r="H18" s="20" t="s">
        <v>40</v>
      </c>
      <c r="I18" s="21" t="n">
        <f aca="false">SUM(I19:I21)</f>
        <v>239.488</v>
      </c>
      <c r="K18" s="20" t="s">
        <v>40</v>
      </c>
      <c r="L18" s="21" t="n">
        <f aca="false">SUM(L19:L21)</f>
        <v>838.735</v>
      </c>
    </row>
    <row r="19" customFormat="false" ht="14.25" hidden="false" customHeight="false" outlineLevel="0" collapsed="false">
      <c r="B19" s="22" t="s">
        <v>41</v>
      </c>
      <c r="C19" s="25" t="n">
        <f aca="false">C9</f>
        <v>119.744</v>
      </c>
      <c r="E19" s="22" t="s">
        <v>41</v>
      </c>
      <c r="F19" s="25" t="n">
        <f aca="false">F9</f>
        <v>119.744</v>
      </c>
      <c r="H19" s="22" t="s">
        <v>41</v>
      </c>
      <c r="I19" s="24" t="n">
        <v>85</v>
      </c>
      <c r="K19" s="22" t="s">
        <v>41</v>
      </c>
      <c r="L19" s="24" t="n">
        <v>519</v>
      </c>
    </row>
    <row r="20" customFormat="false" ht="14.25" hidden="false" customHeight="false" outlineLevel="0" collapsed="false">
      <c r="B20" s="22" t="s">
        <v>42</v>
      </c>
      <c r="C20" s="23"/>
      <c r="E20" s="22" t="s">
        <v>42</v>
      </c>
      <c r="F20" s="23"/>
      <c r="H20" s="22" t="s">
        <v>42</v>
      </c>
      <c r="I20" s="24" t="n">
        <v>274.488</v>
      </c>
      <c r="K20" s="22" t="s">
        <v>42</v>
      </c>
      <c r="L20" s="24" t="n">
        <v>319.735</v>
      </c>
    </row>
    <row r="21" customFormat="false" ht="14.25" hidden="false" customHeight="false" outlineLevel="0" collapsed="false">
      <c r="B21" s="22" t="s">
        <v>43</v>
      </c>
      <c r="C21" s="23"/>
      <c r="E21" s="22" t="s">
        <v>43</v>
      </c>
      <c r="F21" s="23"/>
      <c r="H21" s="22" t="s">
        <v>43</v>
      </c>
      <c r="I21" s="25" t="n">
        <f aca="false">-Premissas!C9</f>
        <v>-120</v>
      </c>
      <c r="K21" s="22" t="s">
        <v>43</v>
      </c>
      <c r="L21" s="23"/>
    </row>
    <row r="22" customFormat="false" ht="14.25" hidden="false" customHeight="false" outlineLevel="0" collapsed="false">
      <c r="B22" s="27"/>
      <c r="C22" s="23"/>
      <c r="E22" s="27"/>
      <c r="F22" s="23"/>
      <c r="H22" s="27"/>
      <c r="I22" s="23"/>
      <c r="K22" s="27"/>
      <c r="L22" s="23"/>
    </row>
    <row r="23" customFormat="false" ht="14.25" hidden="false" customHeight="false" outlineLevel="0" collapsed="false">
      <c r="B23" s="20" t="s">
        <v>44</v>
      </c>
      <c r="C23" s="21" t="n">
        <f aca="false">C12+C18</f>
        <v>119.744</v>
      </c>
      <c r="E23" s="20" t="s">
        <v>44</v>
      </c>
      <c r="F23" s="21" t="n">
        <f aca="false">F12+F18</f>
        <v>119.744</v>
      </c>
      <c r="H23" s="20" t="s">
        <v>44</v>
      </c>
      <c r="I23" s="21" t="n">
        <f aca="false">I12+I18</f>
        <v>26138.37</v>
      </c>
      <c r="K23" s="20" t="s">
        <v>44</v>
      </c>
      <c r="L23" s="21" t="n">
        <f aca="false">L12+L18</f>
        <v>17610.591</v>
      </c>
    </row>
    <row r="24" customFormat="false" ht="14.25" hidden="false" customHeight="false" outlineLevel="0" collapsed="false">
      <c r="B24" s="28" t="s">
        <v>45</v>
      </c>
      <c r="C24" s="29" t="n">
        <f aca="false">C5-C23</f>
        <v>0</v>
      </c>
      <c r="E24" s="28" t="s">
        <v>45</v>
      </c>
      <c r="F24" s="29" t="n">
        <f aca="false">F5-F23</f>
        <v>0</v>
      </c>
      <c r="H24" s="28" t="s">
        <v>45</v>
      </c>
      <c r="I24" s="29" t="n">
        <f aca="false">I5-I23</f>
        <v>-0.340000000000146</v>
      </c>
      <c r="K24" s="28" t="s">
        <v>45</v>
      </c>
      <c r="L24" s="29" t="n">
        <f aca="false">L5-L23</f>
        <v>0.84400000000096</v>
      </c>
    </row>
    <row r="27" customFormat="false" ht="15" hidden="false" customHeight="true" outlineLevel="0" collapsed="false">
      <c r="B27" s="2" t="s">
        <v>46</v>
      </c>
      <c r="C27" s="2"/>
      <c r="D27" s="2"/>
      <c r="E27" s="2"/>
      <c r="F27" s="2"/>
    </row>
    <row r="28" customFormat="false" ht="15" hidden="false" customHeight="true" outlineLevel="0" collapsed="false">
      <c r="B28" s="11" t="s">
        <v>47</v>
      </c>
      <c r="C28" s="30" t="s">
        <v>48</v>
      </c>
      <c r="D28" s="31" t="s">
        <v>49</v>
      </c>
      <c r="E28" s="31"/>
      <c r="F28" s="3"/>
    </row>
    <row r="29" customFormat="false" ht="14.25" hidden="false" customHeight="false" outlineLevel="0" collapsed="false">
      <c r="B29" s="5" t="s">
        <v>50</v>
      </c>
      <c r="C29" s="32" t="n">
        <f aca="false">I18</f>
        <v>239.488</v>
      </c>
      <c r="D29" s="33" t="n">
        <f aca="false">C29/C31</f>
        <v>0.22211360729645</v>
      </c>
      <c r="E29" s="33"/>
      <c r="F29" s="5"/>
    </row>
    <row r="30" customFormat="false" ht="14.25" hidden="false" customHeight="false" outlineLevel="0" collapsed="false">
      <c r="B30" s="5" t="s">
        <v>51</v>
      </c>
      <c r="C30" s="32" t="n">
        <f aca="false">L18</f>
        <v>838.735</v>
      </c>
      <c r="D30" s="33" t="n">
        <f aca="false">C30/C31</f>
        <v>0.77788639270355</v>
      </c>
      <c r="E30" s="33"/>
      <c r="F30" s="5"/>
    </row>
    <row r="31" customFormat="false" ht="14.25" hidden="false" customHeight="false" outlineLevel="0" collapsed="false">
      <c r="B31" s="11" t="s">
        <v>52</v>
      </c>
      <c r="C31" s="34" t="n">
        <f aca="false">C29+C30</f>
        <v>1078.223</v>
      </c>
      <c r="D31" s="35" t="n">
        <f aca="false">C31/C31</f>
        <v>1</v>
      </c>
      <c r="E31" s="35"/>
      <c r="F31" s="3"/>
    </row>
    <row r="33" customFormat="false" ht="15" hidden="false" customHeight="true" outlineLevel="0" collapsed="false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customFormat="false" ht="14.25" hidden="false" customHeight="false" outlineLevel="0" collapsed="false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</sheetData>
  <mergeCells count="11">
    <mergeCell ref="B2:L2"/>
    <mergeCell ref="B4:C4"/>
    <mergeCell ref="E4:F4"/>
    <mergeCell ref="H4:I4"/>
    <mergeCell ref="K4:L4"/>
    <mergeCell ref="B27:F27"/>
    <mergeCell ref="D28:E28"/>
    <mergeCell ref="D29:E29"/>
    <mergeCell ref="D30:E30"/>
    <mergeCell ref="D31:E31"/>
    <mergeCell ref="B33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7" activeCellId="0" sqref="I2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40"/>
    <col collapsed="false" customWidth="true" hidden="false" outlineLevel="0" max="6" min="3" style="0" width="14"/>
    <col collapsed="false" customWidth="true" hidden="false" outlineLevel="0" max="7" min="7" style="0" width="2"/>
    <col collapsed="false" customWidth="true" hidden="false" outlineLevel="0" max="8" min="8" style="0" width="24"/>
    <col collapsed="false" customWidth="true" hidden="false" outlineLevel="0" max="12" min="9" style="0" width="13"/>
  </cols>
  <sheetData>
    <row r="1" customFormat="false" ht="15" hidden="false" customHeight="true" outlineLevel="0" collapsed="false">
      <c r="B1" s="17" t="s">
        <v>53</v>
      </c>
    </row>
    <row r="3" customFormat="false" ht="15" hidden="false" customHeight="true" outlineLevel="0" collapsed="false">
      <c r="B3" s="2" t="s">
        <v>54</v>
      </c>
      <c r="C3" s="2"/>
      <c r="D3" s="2"/>
      <c r="E3" s="2"/>
      <c r="F3" s="2"/>
      <c r="H3" s="2" t="s">
        <v>55</v>
      </c>
      <c r="I3" s="2"/>
      <c r="J3" s="2"/>
      <c r="K3" s="2"/>
      <c r="L3" s="2"/>
    </row>
    <row r="4" customFormat="false" ht="14.25" hidden="false" customHeight="false" outlineLevel="0" collapsed="false">
      <c r="B4" s="11" t="s">
        <v>56</v>
      </c>
      <c r="C4" s="30" t="s">
        <v>57</v>
      </c>
      <c r="D4" s="30" t="s">
        <v>58</v>
      </c>
      <c r="E4" s="3"/>
      <c r="F4" s="3"/>
      <c r="H4" s="11" t="s">
        <v>59</v>
      </c>
      <c r="I4" s="30" t="s">
        <v>50</v>
      </c>
      <c r="J4" s="30" t="s">
        <v>60</v>
      </c>
      <c r="K4" s="30" t="s">
        <v>61</v>
      </c>
      <c r="L4" s="3"/>
    </row>
    <row r="5" customFormat="false" ht="14.25" hidden="false" customHeight="false" outlineLevel="0" collapsed="false">
      <c r="B5" s="5" t="s">
        <v>62</v>
      </c>
      <c r="C5" s="8" t="n">
        <v>0.5</v>
      </c>
      <c r="D5" s="36" t="n">
        <f aca="false">C5*(1-Premissas!C6)</f>
        <v>0.431</v>
      </c>
      <c r="E5" s="5"/>
      <c r="F5" s="5"/>
      <c r="H5" s="5" t="s">
        <v>63</v>
      </c>
      <c r="I5" s="32" t="n">
        <f aca="false">'1. Situação Antes'!I6</f>
        <v>328.578</v>
      </c>
      <c r="J5" s="32" t="n">
        <f aca="false">'1. Situação Antes'!L6</f>
        <v>945.234</v>
      </c>
      <c r="K5" s="32" t="n">
        <f aca="false">I5+J5</f>
        <v>1273.812</v>
      </c>
      <c r="L5" s="5"/>
    </row>
    <row r="6" customFormat="false" ht="14.25" hidden="false" customHeight="false" outlineLevel="0" collapsed="false">
      <c r="B6" s="5" t="s">
        <v>64</v>
      </c>
      <c r="C6" s="8" t="n">
        <v>0.5</v>
      </c>
      <c r="D6" s="36" t="n">
        <f aca="false">C6*(1-Premissas!C6)</f>
        <v>0.431</v>
      </c>
      <c r="E6" s="5"/>
      <c r="F6" s="5"/>
      <c r="H6" s="5" t="s">
        <v>65</v>
      </c>
      <c r="I6" s="32" t="n">
        <f aca="false">'1. Situação Antes'!I7</f>
        <v>1937.402</v>
      </c>
      <c r="J6" s="32" t="n">
        <f aca="false">'1. Situação Antes'!L7</f>
        <v>216.353</v>
      </c>
      <c r="K6" s="32" t="n">
        <f aca="false">I6+J6</f>
        <v>2153.755</v>
      </c>
      <c r="L6" s="5"/>
    </row>
    <row r="7" customFormat="false" ht="14.25" hidden="false" customHeight="false" outlineLevel="0" collapsed="false">
      <c r="B7" s="5" t="s">
        <v>66</v>
      </c>
      <c r="C7" s="8" t="n">
        <v>0</v>
      </c>
      <c r="D7" s="36" t="n">
        <f aca="false">Premissas!C6</f>
        <v>0.138</v>
      </c>
      <c r="E7" s="5"/>
      <c r="F7" s="5"/>
      <c r="H7" s="5" t="s">
        <v>34</v>
      </c>
      <c r="I7" s="32" t="n">
        <f aca="false">'1. Situação Antes'!I8</f>
        <v>57.986</v>
      </c>
      <c r="J7" s="32" t="n">
        <f aca="false">'1. Situação Antes'!L8</f>
        <v>138.693</v>
      </c>
      <c r="K7" s="32" t="n">
        <f aca="false">I7+J7</f>
        <v>196.679</v>
      </c>
      <c r="L7" s="5"/>
    </row>
    <row r="8" customFormat="false" ht="14.25" hidden="false" customHeight="false" outlineLevel="0" collapsed="false">
      <c r="B8" s="11" t="s">
        <v>67</v>
      </c>
      <c r="C8" s="37" t="n">
        <f aca="false">SUM(C5:C7)</f>
        <v>1</v>
      </c>
      <c r="D8" s="37" t="n">
        <f aca="false">SUM(D5:D7)</f>
        <v>1</v>
      </c>
      <c r="E8" s="3"/>
      <c r="F8" s="3"/>
      <c r="H8" s="5" t="s">
        <v>68</v>
      </c>
      <c r="I8" s="32" t="n">
        <f aca="false">'1. Situação Antes'!I10</f>
        <v>23814.064</v>
      </c>
      <c r="J8" s="32" t="n">
        <f aca="false">'1. Situação Antes'!L10</f>
        <v>16311.155</v>
      </c>
      <c r="K8" s="32" t="n">
        <f aca="false">I8+J8</f>
        <v>40125.219</v>
      </c>
      <c r="L8" s="5"/>
    </row>
    <row r="9" customFormat="false" ht="14.25" hidden="false" customHeight="false" outlineLevel="0" collapsed="false">
      <c r="H9" s="5" t="s">
        <v>69</v>
      </c>
      <c r="I9" s="32" t="n">
        <f aca="false">'1. Situação Antes'!I13</f>
        <v>420.06</v>
      </c>
      <c r="J9" s="32" t="n">
        <f aca="false">'1. Situação Antes'!L13</f>
        <v>232.757</v>
      </c>
      <c r="K9" s="32" t="n">
        <f aca="false">I9+J9</f>
        <v>652.817</v>
      </c>
      <c r="L9" s="5"/>
    </row>
    <row r="10" customFormat="false" ht="15" hidden="false" customHeight="true" outlineLevel="0" collapsed="false">
      <c r="B10" s="2" t="s">
        <v>70</v>
      </c>
      <c r="C10" s="2"/>
      <c r="D10" s="2"/>
      <c r="E10" s="2"/>
      <c r="F10" s="2"/>
      <c r="H10" s="5" t="s">
        <v>71</v>
      </c>
      <c r="I10" s="32" t="n">
        <f aca="false">'1. Situação Antes'!I14</f>
        <v>1544.758</v>
      </c>
      <c r="J10" s="32" t="n">
        <f aca="false">'1. Situação Antes'!L14</f>
        <v>227.944</v>
      </c>
      <c r="K10" s="32" t="n">
        <f aca="false">I10+J10</f>
        <v>1772.702</v>
      </c>
      <c r="L10" s="5"/>
    </row>
    <row r="11" customFormat="false" ht="14.25" hidden="false" customHeight="false" outlineLevel="0" collapsed="false">
      <c r="B11" s="11" t="s">
        <v>72</v>
      </c>
      <c r="C11" s="30" t="s">
        <v>73</v>
      </c>
      <c r="D11" s="30" t="s">
        <v>74</v>
      </c>
      <c r="E11" s="3"/>
      <c r="F11" s="3"/>
      <c r="H11" s="5" t="s">
        <v>39</v>
      </c>
      <c r="I11" s="32" t="n">
        <f aca="false">'1. Situação Antes'!I15</f>
        <v>120</v>
      </c>
      <c r="J11" s="32" t="n">
        <f aca="false">'1. Situação Antes'!L15</f>
        <v>0</v>
      </c>
      <c r="K11" s="32" t="n">
        <f aca="false">I11+J11</f>
        <v>120</v>
      </c>
      <c r="L11" s="5"/>
    </row>
    <row r="12" customFormat="false" ht="14.25" hidden="false" customHeight="false" outlineLevel="0" collapsed="false">
      <c r="B12" s="5" t="s">
        <v>75</v>
      </c>
      <c r="C12" s="32" t="n">
        <f aca="false">'1. Situação Antes'!C9</f>
        <v>119.744</v>
      </c>
      <c r="D12" s="32" t="n">
        <f aca="false">C12*2</f>
        <v>239.488</v>
      </c>
      <c r="E12" s="5"/>
      <c r="F12" s="5"/>
      <c r="H12" s="5" t="s">
        <v>76</v>
      </c>
      <c r="I12" s="32" t="n">
        <f aca="false">'1. Situação Antes'!I16</f>
        <v>23814.064</v>
      </c>
      <c r="J12" s="32" t="n">
        <f aca="false">'1. Situação Antes'!L16</f>
        <v>16311.155</v>
      </c>
      <c r="K12" s="32" t="n">
        <f aca="false">I12+J12</f>
        <v>40125.219</v>
      </c>
      <c r="L12" s="5"/>
    </row>
    <row r="13" customFormat="false" ht="19.5" hidden="false" customHeight="true" outlineLevel="0" collapsed="false">
      <c r="B13" s="5" t="s">
        <v>77</v>
      </c>
      <c r="C13" s="32" t="n">
        <f aca="false">'1. Situação Antes'!L18/2</f>
        <v>419.3675</v>
      </c>
      <c r="D13" s="32" t="n">
        <f aca="false">C13*2</f>
        <v>838.735</v>
      </c>
      <c r="E13" s="5"/>
      <c r="F13" s="5"/>
      <c r="H13" s="5" t="s">
        <v>78</v>
      </c>
      <c r="I13" s="32" t="n">
        <f aca="false">'1. Situação Antes'!I19</f>
        <v>85</v>
      </c>
      <c r="J13" s="32" t="n">
        <f aca="false">'1. Situação Antes'!L19</f>
        <v>519</v>
      </c>
      <c r="K13" s="32" t="n">
        <f aca="false">I13+J13</f>
        <v>604</v>
      </c>
      <c r="L13" s="5"/>
    </row>
    <row r="14" customFormat="false" ht="14.25" hidden="false" customHeight="false" outlineLevel="0" collapsed="false">
      <c r="B14" s="5" t="s">
        <v>79</v>
      </c>
      <c r="C14" s="32" t="n">
        <f aca="false">-(C12+C13)*Premissas!C6</f>
        <v>-74.397387</v>
      </c>
      <c r="D14" s="32" t="n">
        <f aca="false">C14*2</f>
        <v>-148.794774</v>
      </c>
      <c r="E14" s="5"/>
      <c r="F14" s="5"/>
      <c r="H14" s="5" t="s">
        <v>42</v>
      </c>
      <c r="I14" s="32" t="n">
        <f aca="false">'1. Situação Antes'!I20</f>
        <v>274.488</v>
      </c>
      <c r="J14" s="32" t="n">
        <f aca="false">'1. Situação Antes'!L20</f>
        <v>319.735</v>
      </c>
      <c r="K14" s="32" t="n">
        <f aca="false">I14+J14</f>
        <v>594.223</v>
      </c>
      <c r="L14" s="5"/>
    </row>
    <row r="15" customFormat="false" ht="14.25" hidden="false" customHeight="false" outlineLevel="0" collapsed="false">
      <c r="B15" s="13" t="s">
        <v>80</v>
      </c>
      <c r="C15" s="38" t="n">
        <f aca="false">C13+C14</f>
        <v>344.970113</v>
      </c>
      <c r="D15" s="38" t="n">
        <f aca="false">C15*2</f>
        <v>689.940226</v>
      </c>
      <c r="E15" s="5"/>
      <c r="F15" s="5"/>
      <c r="H15" s="5" t="s">
        <v>81</v>
      </c>
      <c r="I15" s="32" t="n">
        <f aca="false">'1. Situação Antes'!I21</f>
        <v>-120</v>
      </c>
      <c r="J15" s="32" t="n">
        <f aca="false">'1. Situação Antes'!L21</f>
        <v>0</v>
      </c>
      <c r="K15" s="32" t="n">
        <f aca="false">I15+J15</f>
        <v>-120</v>
      </c>
      <c r="L15" s="5"/>
    </row>
    <row r="16" customFormat="false" ht="14.25" hidden="false" customHeight="false" outlineLevel="0" collapsed="false">
      <c r="B16" s="39" t="s">
        <v>82</v>
      </c>
      <c r="C16" s="40" t="n">
        <f aca="false">C12+C15</f>
        <v>464.714113</v>
      </c>
      <c r="D16" s="40" t="n">
        <f aca="false">C16*2</f>
        <v>929.428226</v>
      </c>
      <c r="E16" s="41"/>
      <c r="F16" s="41"/>
      <c r="H16" s="11" t="s">
        <v>52</v>
      </c>
      <c r="I16" s="34" t="n">
        <f aca="false">'1. Situação Antes'!I18</f>
        <v>239.488</v>
      </c>
      <c r="J16" s="34" t="n">
        <f aca="false">'1. Situação Antes'!L18</f>
        <v>838.735</v>
      </c>
      <c r="K16" s="34" t="n">
        <f aca="false">I16+J16</f>
        <v>1078.223</v>
      </c>
      <c r="L16" s="3"/>
    </row>
    <row r="17" customFormat="false" ht="14.25" hidden="false" customHeight="false" outlineLevel="0" collapsed="false">
      <c r="B17" s="42" t="s">
        <v>83</v>
      </c>
      <c r="C17" s="43" t="n">
        <f aca="false">D5*K16-C16</f>
        <v>0</v>
      </c>
      <c r="D17" s="5"/>
      <c r="E17" s="5"/>
      <c r="F17" s="5"/>
      <c r="H17" s="42" t="s">
        <v>84</v>
      </c>
      <c r="I17" s="43" t="n">
        <f aca="false">SUM(I5:I8)-SUM(I9:I12)-I16</f>
        <v>-0.339999999998952</v>
      </c>
      <c r="J17" s="43" t="n">
        <f aca="false">SUM(J5:J8)-SUM(J9:J12)-J16</f>
        <v>0.844000000001529</v>
      </c>
      <c r="K17" s="43" t="n">
        <f aca="false">SUM(K5:K8)-SUM(K9:K12)-K16</f>
        <v>0.503999999998996</v>
      </c>
      <c r="L17" s="5"/>
    </row>
    <row r="19" customFormat="false" ht="15" hidden="false" customHeight="true" outlineLevel="0" collapsed="false">
      <c r="B19" s="2" t="s">
        <v>85</v>
      </c>
      <c r="C19" s="2"/>
      <c r="D19" s="2"/>
      <c r="E19" s="2"/>
      <c r="F19" s="2"/>
    </row>
    <row r="20" customFormat="false" ht="15" hidden="false" customHeight="true" outlineLevel="0" collapsed="false">
      <c r="B20" s="11" t="s">
        <v>86</v>
      </c>
      <c r="C20" s="30" t="s">
        <v>87</v>
      </c>
      <c r="D20" s="30" t="s">
        <v>88</v>
      </c>
    </row>
    <row r="21" customFormat="false" ht="32.25" hidden="false" customHeight="true" outlineLevel="0" collapsed="false">
      <c r="B21" s="5" t="s">
        <v>89</v>
      </c>
      <c r="C21" s="32" t="n">
        <f aca="false">C13</f>
        <v>419.3675</v>
      </c>
      <c r="D21" s="5"/>
    </row>
    <row r="22" customFormat="false" ht="21.75" hidden="false" customHeight="true" outlineLevel="0" collapsed="false">
      <c r="B22" s="5" t="s">
        <v>90</v>
      </c>
      <c r="C22" s="5"/>
      <c r="D22" s="32" t="n">
        <f aca="false">-C14</f>
        <v>74.397387</v>
      </c>
    </row>
    <row r="23" customFormat="false" ht="19.5" hidden="false" customHeight="true" outlineLevel="0" collapsed="false">
      <c r="B23" s="13" t="s">
        <v>91</v>
      </c>
      <c r="C23" s="38" t="n">
        <f aca="false">C21-D22</f>
        <v>344.970113</v>
      </c>
      <c r="D23" s="5"/>
    </row>
    <row r="24" customFormat="false" ht="19.5" hidden="false" customHeight="true" outlineLevel="0" collapsed="false"/>
    <row r="25" customFormat="false" ht="15" hidden="false" customHeight="true" outlineLevel="0" collapsed="false">
      <c r="B25" s="18" t="s">
        <v>92</v>
      </c>
      <c r="C25" s="18"/>
      <c r="D25" s="18"/>
      <c r="E25" s="18"/>
      <c r="F25" s="18"/>
      <c r="H25" s="44"/>
      <c r="I25" s="44"/>
      <c r="J25" s="44"/>
      <c r="K25" s="44"/>
      <c r="L25" s="44"/>
    </row>
    <row r="26" customFormat="false" ht="14.25" hidden="false" customHeight="false" outlineLevel="0" collapsed="false">
      <c r="B26" s="11" t="s">
        <v>93</v>
      </c>
      <c r="C26" s="30" t="s">
        <v>52</v>
      </c>
      <c r="D26" s="45" t="s">
        <v>94</v>
      </c>
      <c r="E26" s="45" t="s">
        <v>95</v>
      </c>
      <c r="F26" s="30" t="s">
        <v>96</v>
      </c>
    </row>
    <row r="27" customFormat="false" ht="14.25" hidden="false" customHeight="false" outlineLevel="0" collapsed="false">
      <c r="B27" s="5" t="s">
        <v>97</v>
      </c>
      <c r="C27" s="32" t="n">
        <f aca="false">'1. Situação Antes'!I18</f>
        <v>239.488</v>
      </c>
      <c r="D27" s="32" t="n">
        <f aca="false">C27</f>
        <v>239.488</v>
      </c>
      <c r="E27" s="32" t="n">
        <f aca="false">C27*(1-Premissas!C6)</f>
        <v>206.438656</v>
      </c>
      <c r="F27" s="32" t="n">
        <f aca="false">E27-D27</f>
        <v>-33.049344</v>
      </c>
    </row>
    <row r="28" customFormat="false" ht="14.25" hidden="false" customHeight="false" outlineLevel="0" collapsed="false">
      <c r="B28" s="5" t="s">
        <v>98</v>
      </c>
      <c r="C28" s="32" t="n">
        <f aca="false">'1. Situação Antes'!L18*Premissas!C15</f>
        <v>548.180150115474</v>
      </c>
      <c r="D28" s="32" t="n">
        <v>0</v>
      </c>
      <c r="E28" s="32" t="n">
        <f aca="false">C28*(1-Premissas!C6)</f>
        <v>472.531289399538</v>
      </c>
      <c r="F28" s="32" t="n">
        <f aca="false">E28-D28</f>
        <v>472.531289399538</v>
      </c>
    </row>
    <row r="29" customFormat="false" ht="14.25" hidden="false" customHeight="false" outlineLevel="0" collapsed="false">
      <c r="B29" s="46" t="s">
        <v>99</v>
      </c>
      <c r="C29" s="47" t="n">
        <f aca="false">'1. Situação Antes'!L18*Premissas!C14</f>
        <v>290.554849884527</v>
      </c>
      <c r="D29" s="47" t="n">
        <v>0</v>
      </c>
      <c r="E29" s="47" t="n">
        <f aca="false">C29*(1-Premissas!C6)</f>
        <v>250.458280600462</v>
      </c>
      <c r="F29" s="47" t="n">
        <f aca="false">E29-D29</f>
        <v>250.458280600462</v>
      </c>
    </row>
    <row r="30" customFormat="false" ht="14.25" hidden="false" customHeight="false" outlineLevel="0" collapsed="false">
      <c r="B30" s="11" t="s">
        <v>100</v>
      </c>
      <c r="C30" s="34" t="n">
        <f aca="false">SUM(C27:C29)</f>
        <v>1078.223</v>
      </c>
      <c r="D30" s="34" t="n">
        <f aca="false">SUM(D27:D29)</f>
        <v>239.488</v>
      </c>
      <c r="E30" s="34" t="n">
        <f aca="false">SUM(E27:E29)</f>
        <v>929.428226</v>
      </c>
      <c r="F30" s="34" t="n">
        <f aca="false">SUM(F27:F29)</f>
        <v>689.940226</v>
      </c>
    </row>
    <row r="31" customFormat="false" ht="14.25" hidden="false" customHeight="false" outlineLevel="0" collapsed="false">
      <c r="B31" s="42"/>
      <c r="C31" s="5"/>
      <c r="D31" s="5"/>
      <c r="E31" s="5"/>
      <c r="F31" s="43"/>
    </row>
    <row r="33" customFormat="false" ht="19.5" hidden="false" customHeight="true" outlineLevel="0" collapsed="false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customFormat="false" ht="19.5" hidden="false" customHeight="true" outlineLevel="0" collapsed="false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</sheetData>
  <mergeCells count="6">
    <mergeCell ref="B3:F3"/>
    <mergeCell ref="H3:L3"/>
    <mergeCell ref="B10:F10"/>
    <mergeCell ref="B19:F19"/>
    <mergeCell ref="B25:F25"/>
    <mergeCell ref="B33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7" activeCellId="0" sqref="B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44"/>
    <col collapsed="false" customWidth="true" hidden="false" outlineLevel="0" max="3" min="3" style="0" width="16.36"/>
    <col collapsed="false" customWidth="true" hidden="false" outlineLevel="0" max="4" min="4" style="0" width="20.91"/>
    <col collapsed="false" customWidth="true" hidden="false" outlineLevel="0" max="5" min="5" style="0" width="2"/>
    <col collapsed="false" customWidth="true" hidden="false" outlineLevel="0" max="7" min="6" style="0" width="15"/>
  </cols>
  <sheetData>
    <row r="1" customFormat="false" ht="15" hidden="false" customHeight="true" outlineLevel="0" collapsed="false">
      <c r="B1" s="17" t="s">
        <v>101</v>
      </c>
    </row>
    <row r="3" customFormat="false" ht="15" hidden="false" customHeight="true" outlineLevel="0" collapsed="false">
      <c r="B3" s="2" t="s">
        <v>102</v>
      </c>
      <c r="C3" s="2"/>
      <c r="D3" s="2"/>
      <c r="E3" s="2"/>
      <c r="F3" s="2"/>
      <c r="G3" s="2"/>
    </row>
    <row r="4" customFormat="false" ht="14.25" hidden="false" customHeight="false" outlineLevel="0" collapsed="false">
      <c r="B4" s="5" t="s">
        <v>103</v>
      </c>
      <c r="C4" s="36" t="n">
        <f aca="false">Premissas!C7-Premissas!C6</f>
        <v>0.262</v>
      </c>
      <c r="D4" s="5"/>
      <c r="E4" s="5"/>
      <c r="F4" s="5"/>
      <c r="G4" s="5"/>
    </row>
    <row r="5" customFormat="false" ht="14.25" hidden="false" customHeight="false" outlineLevel="0" collapsed="false">
      <c r="B5" s="5" t="s">
        <v>104</v>
      </c>
      <c r="C5" s="36" t="n">
        <f aca="false">C4/2</f>
        <v>0.131</v>
      </c>
      <c r="D5" s="5"/>
      <c r="E5" s="5"/>
      <c r="F5" s="5"/>
      <c r="G5" s="5"/>
    </row>
    <row r="6" customFormat="false" ht="14.25" hidden="false" customHeight="false" outlineLevel="0" collapsed="false">
      <c r="B6" s="5" t="s">
        <v>105</v>
      </c>
      <c r="C6" s="36" t="n">
        <f aca="false">'2. Incorporação CPC 15'!D5</f>
        <v>0.431</v>
      </c>
      <c r="D6" s="5"/>
      <c r="E6" s="5"/>
      <c r="F6" s="5"/>
      <c r="G6" s="5"/>
    </row>
    <row r="7" customFormat="false" ht="14.25" hidden="false" customHeight="false" outlineLevel="0" collapsed="false">
      <c r="B7" s="13" t="s">
        <v>106</v>
      </c>
      <c r="C7" s="48" t="n">
        <f aca="false">C5/C6</f>
        <v>0.303944315545244</v>
      </c>
      <c r="D7" s="5"/>
      <c r="E7" s="5"/>
      <c r="F7" s="5"/>
      <c r="G7" s="5"/>
    </row>
    <row r="8" customFormat="false" ht="14.25" hidden="false" customHeight="false" outlineLevel="0" collapsed="false">
      <c r="B8" s="5" t="s">
        <v>107</v>
      </c>
      <c r="C8" s="32" t="n">
        <f aca="false">Premissas!C18</f>
        <v>600</v>
      </c>
      <c r="D8" s="5"/>
      <c r="E8" s="5"/>
      <c r="F8" s="5"/>
      <c r="G8" s="5"/>
    </row>
    <row r="10" customFormat="false" ht="15" hidden="false" customHeight="true" outlineLevel="0" collapsed="false">
      <c r="B10" s="18" t="s">
        <v>108</v>
      </c>
      <c r="C10" s="18"/>
      <c r="D10" s="18"/>
      <c r="E10" s="18"/>
      <c r="F10" s="18"/>
      <c r="G10" s="18"/>
    </row>
    <row r="11" customFormat="false" ht="14.25" hidden="false" customHeight="false" outlineLevel="0" collapsed="false">
      <c r="B11" s="11" t="s">
        <v>56</v>
      </c>
      <c r="C11" s="30" t="s">
        <v>109</v>
      </c>
      <c r="D11" s="30" t="s">
        <v>110</v>
      </c>
      <c r="E11" s="3"/>
      <c r="F11" s="30" t="s">
        <v>111</v>
      </c>
      <c r="G11" s="3"/>
    </row>
    <row r="12" customFormat="false" ht="14.25" hidden="false" customHeight="false" outlineLevel="0" collapsed="false">
      <c r="B12" s="5" t="s">
        <v>62</v>
      </c>
      <c r="C12" s="36" t="n">
        <f aca="false">'2. Incorporação CPC 15'!D5</f>
        <v>0.431</v>
      </c>
      <c r="D12" s="36" t="n">
        <f aca="false">-$C$5</f>
        <v>-0.131</v>
      </c>
      <c r="E12" s="5"/>
      <c r="F12" s="36" t="n">
        <f aca="false">C12+D12</f>
        <v>0.3</v>
      </c>
      <c r="G12" s="5"/>
    </row>
    <row r="13" customFormat="false" ht="14.25" hidden="false" customHeight="false" outlineLevel="0" collapsed="false">
      <c r="B13" s="5" t="s">
        <v>64</v>
      </c>
      <c r="C13" s="36" t="n">
        <f aca="false">'2. Incorporação CPC 15'!D6</f>
        <v>0.431</v>
      </c>
      <c r="D13" s="36" t="n">
        <f aca="false">-$C$5</f>
        <v>-0.131</v>
      </c>
      <c r="E13" s="5"/>
      <c r="F13" s="36" t="n">
        <f aca="false">C13+D13</f>
        <v>0.3</v>
      </c>
      <c r="G13" s="5"/>
    </row>
    <row r="14" customFormat="false" ht="14.25" hidden="false" customHeight="false" outlineLevel="0" collapsed="false">
      <c r="B14" s="5" t="s">
        <v>112</v>
      </c>
      <c r="C14" s="36" t="n">
        <f aca="false">'2. Incorporação CPC 15'!D7</f>
        <v>0.138</v>
      </c>
      <c r="D14" s="36" t="n">
        <f aca="false">$C$4</f>
        <v>0.262</v>
      </c>
      <c r="E14" s="5"/>
      <c r="F14" s="36" t="n">
        <f aca="false">C14+D14</f>
        <v>0.4</v>
      </c>
      <c r="G14" s="5"/>
    </row>
    <row r="15" customFormat="false" ht="14.25" hidden="false" customHeight="false" outlineLevel="0" collapsed="false">
      <c r="B15" s="11" t="s">
        <v>67</v>
      </c>
      <c r="C15" s="37" t="n">
        <f aca="false">SUM(C12:C14)</f>
        <v>1</v>
      </c>
      <c r="D15" s="37" t="n">
        <f aca="false">SUM(D12:D14)</f>
        <v>0</v>
      </c>
      <c r="E15" s="3"/>
      <c r="F15" s="37" t="n">
        <f aca="false">SUM(F12:F14)</f>
        <v>1</v>
      </c>
      <c r="G15" s="3"/>
    </row>
    <row r="17" customFormat="false" ht="15" hidden="false" customHeight="true" outlineLevel="0" collapsed="false">
      <c r="B17" s="2" t="s">
        <v>113</v>
      </c>
      <c r="C17" s="2"/>
      <c r="D17" s="2"/>
      <c r="E17" s="2"/>
      <c r="F17" s="2"/>
      <c r="G17" s="2"/>
    </row>
    <row r="18" customFormat="false" ht="15" hidden="false" customHeight="true" outlineLevel="0" collapsed="false">
      <c r="B18" s="11"/>
      <c r="C18" s="31" t="s">
        <v>73</v>
      </c>
      <c r="D18" s="31"/>
      <c r="E18" s="5"/>
      <c r="F18" s="31" t="s">
        <v>74</v>
      </c>
      <c r="G18" s="31"/>
    </row>
    <row r="19" customFormat="false" ht="14.25" hidden="false" customHeight="false" outlineLevel="0" collapsed="false">
      <c r="B19" s="11" t="s">
        <v>72</v>
      </c>
      <c r="C19" s="49" t="s">
        <v>114</v>
      </c>
      <c r="D19" s="50" t="s">
        <v>115</v>
      </c>
      <c r="E19" s="5"/>
      <c r="F19" s="49" t="s">
        <v>116</v>
      </c>
      <c r="G19" s="50" t="s">
        <v>117</v>
      </c>
    </row>
    <row r="20" customFormat="false" ht="14.25" hidden="false" customHeight="false" outlineLevel="0" collapsed="false">
      <c r="B20" s="5" t="s">
        <v>118</v>
      </c>
      <c r="C20" s="32" t="n">
        <f aca="false">$C$8</f>
        <v>600</v>
      </c>
      <c r="D20" s="32" t="n">
        <f aca="false">$C$8</f>
        <v>600</v>
      </c>
      <c r="E20" s="5"/>
      <c r="F20" s="32" t="n">
        <f aca="false">C20*2</f>
        <v>1200</v>
      </c>
      <c r="G20" s="32" t="n">
        <f aca="false">D20*2</f>
        <v>1200</v>
      </c>
    </row>
    <row r="21" customFormat="false" ht="14.25" hidden="false" customHeight="false" outlineLevel="0" collapsed="false">
      <c r="B21" s="5" t="s">
        <v>119</v>
      </c>
      <c r="C21" s="32" t="n">
        <f aca="false">'2. Incorporação CPC 15'!C12</f>
        <v>119.744</v>
      </c>
      <c r="D21" s="32" t="n">
        <f aca="false">'2. Incorporação CPC 15'!C16</f>
        <v>464.714113</v>
      </c>
      <c r="E21" s="5"/>
      <c r="F21" s="32" t="n">
        <f aca="false">C21*2</f>
        <v>239.488</v>
      </c>
      <c r="G21" s="32" t="n">
        <f aca="false">D21*2</f>
        <v>929.428226</v>
      </c>
    </row>
    <row r="22" customFormat="false" ht="14.25" hidden="false" customHeight="false" outlineLevel="0" collapsed="false">
      <c r="B22" s="5" t="s">
        <v>120</v>
      </c>
      <c r="C22" s="32" t="n">
        <f aca="false">C21*$C$7</f>
        <v>36.3955081206497</v>
      </c>
      <c r="D22" s="32" t="n">
        <f aca="false">D21*$C$7</f>
        <v>141.247213</v>
      </c>
      <c r="E22" s="5"/>
      <c r="F22" s="32" t="n">
        <f aca="false">C22*2</f>
        <v>72.7910162412993</v>
      </c>
      <c r="G22" s="32" t="n">
        <f aca="false">D22*2</f>
        <v>282.494426</v>
      </c>
    </row>
    <row r="23" customFormat="false" ht="14.25" hidden="false" customHeight="false" outlineLevel="0" collapsed="false">
      <c r="B23" s="13" t="s">
        <v>121</v>
      </c>
      <c r="C23" s="38" t="n">
        <f aca="false">C20-C22</f>
        <v>563.60449187935</v>
      </c>
      <c r="D23" s="38" t="n">
        <f aca="false">D20-D22</f>
        <v>458.752787</v>
      </c>
      <c r="E23" s="5"/>
      <c r="F23" s="38" t="n">
        <f aca="false">C23*2</f>
        <v>1127.2089837587</v>
      </c>
      <c r="G23" s="38" t="n">
        <f aca="false">D23*2</f>
        <v>917.505574</v>
      </c>
    </row>
    <row r="24" customFormat="false" ht="14.25" hidden="false" customHeight="false" outlineLevel="0" collapsed="false">
      <c r="B24" s="13" t="s">
        <v>122</v>
      </c>
      <c r="C24" s="38" t="n">
        <f aca="false">C23*Premissas!C8</f>
        <v>191.625527238979</v>
      </c>
      <c r="D24" s="38" t="n">
        <f aca="false">D23*Premissas!C8</f>
        <v>155.97594758</v>
      </c>
      <c r="E24" s="5"/>
      <c r="F24" s="38" t="n">
        <f aca="false">C24*2</f>
        <v>383.251054477958</v>
      </c>
      <c r="G24" s="38" t="n">
        <f aca="false">D24*2</f>
        <v>311.95189516</v>
      </c>
    </row>
    <row r="25" customFormat="false" ht="14.25" hidden="false" customHeight="false" outlineLevel="0" collapsed="false">
      <c r="B25" s="5" t="s">
        <v>123</v>
      </c>
      <c r="C25" s="32" t="n">
        <f aca="false">C20-C24</f>
        <v>408.374472761021</v>
      </c>
      <c r="D25" s="32" t="n">
        <f aca="false">D20-D24</f>
        <v>444.02405242</v>
      </c>
      <c r="E25" s="5"/>
      <c r="F25" s="32" t="n">
        <f aca="false">C25*2</f>
        <v>816.748945522042</v>
      </c>
      <c r="G25" s="32" t="n">
        <f aca="false">D25*2</f>
        <v>888.04810484</v>
      </c>
    </row>
    <row r="26" customFormat="false" ht="14.25" hidden="false" customHeight="false" outlineLevel="0" collapsed="false">
      <c r="B26" s="5" t="s">
        <v>124</v>
      </c>
      <c r="C26" s="36" t="n">
        <f aca="false">C24/C20</f>
        <v>0.319375878731632</v>
      </c>
      <c r="D26" s="36" t="n">
        <f aca="false">D24/D20</f>
        <v>0.259959912633333</v>
      </c>
      <c r="E26" s="5"/>
      <c r="F26" s="36" t="n">
        <f aca="false">F24/F20</f>
        <v>0.319375878731632</v>
      </c>
      <c r="G26" s="36" t="n">
        <f aca="false">G24/G20</f>
        <v>0.259959912633333</v>
      </c>
    </row>
    <row r="27" customFormat="false" ht="14.25" hidden="false" customHeight="false" outlineLevel="0" collapsed="false">
      <c r="B27" s="13" t="s">
        <v>125</v>
      </c>
      <c r="C27" s="38" t="n">
        <f aca="false">C21-C22</f>
        <v>83.3484918793504</v>
      </c>
      <c r="D27" s="38" t="n">
        <f aca="false">D21-D22</f>
        <v>323.4669</v>
      </c>
      <c r="E27" s="5"/>
      <c r="F27" s="38" t="n">
        <f aca="false">C27*2</f>
        <v>166.696983758701</v>
      </c>
      <c r="G27" s="38" t="n">
        <f aca="false">D27*2</f>
        <v>646.9338</v>
      </c>
    </row>
    <row r="28" customFormat="false" ht="14.25" hidden="false" customHeight="false" outlineLevel="0" collapsed="false">
      <c r="B28" s="39" t="s">
        <v>126</v>
      </c>
      <c r="C28" s="40" t="n">
        <f aca="false">C24-D24</f>
        <v>35.6495796589791</v>
      </c>
      <c r="D28" s="41"/>
      <c r="E28" s="5"/>
      <c r="F28" s="40" t="n">
        <f aca="false">F24-G24</f>
        <v>71.2991593179582</v>
      </c>
      <c r="G28" s="41"/>
    </row>
    <row r="30" customFormat="false" ht="15" hidden="false" customHeight="true" outlineLevel="0" collapsed="false"/>
  </sheetData>
  <mergeCells count="5">
    <mergeCell ref="B3:G3"/>
    <mergeCell ref="B10:G10"/>
    <mergeCell ref="B17:G17"/>
    <mergeCell ref="C18:D18"/>
    <mergeCell ref="F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46"/>
    <col collapsed="false" customWidth="true" hidden="false" outlineLevel="0" max="4" min="3" style="0" width="16"/>
  </cols>
  <sheetData>
    <row r="1" customFormat="false" ht="30.75" hidden="false" customHeight="true" outlineLevel="0" collapsed="false">
      <c r="B1" s="1" t="s">
        <v>127</v>
      </c>
    </row>
    <row r="3" customFormat="false" ht="15" hidden="false" customHeight="true" outlineLevel="0" collapsed="false">
      <c r="B3" s="18" t="s">
        <v>128</v>
      </c>
      <c r="C3" s="18"/>
      <c r="D3" s="18"/>
    </row>
    <row r="4" customFormat="false" ht="14.25" hidden="false" customHeight="false" outlineLevel="0" collapsed="false">
      <c r="B4" s="5" t="s">
        <v>129</v>
      </c>
      <c r="C4" s="32" t="n">
        <f aca="false">'3. Cash Out'!C25</f>
        <v>408.374472761021</v>
      </c>
      <c r="D4" s="5"/>
    </row>
    <row r="5" customFormat="false" ht="14.25" hidden="false" customHeight="false" outlineLevel="0" collapsed="false">
      <c r="B5" s="5" t="s">
        <v>130</v>
      </c>
      <c r="C5" s="32" t="n">
        <f aca="false">C4*Premissas!C21</f>
        <v>40.8374472761021</v>
      </c>
      <c r="D5" s="5"/>
    </row>
    <row r="6" customFormat="false" ht="14.25" hidden="false" customHeight="false" outlineLevel="0" collapsed="false">
      <c r="B6" s="13" t="s">
        <v>131</v>
      </c>
      <c r="C6" s="38" t="n">
        <f aca="false">C4-C5</f>
        <v>367.537025484919</v>
      </c>
      <c r="D6" s="5"/>
    </row>
    <row r="8" customFormat="false" ht="15" hidden="false" customHeight="true" outlineLevel="0" collapsed="false">
      <c r="B8" s="18" t="s">
        <v>132</v>
      </c>
      <c r="C8" s="18"/>
      <c r="D8" s="18"/>
    </row>
    <row r="9" customFormat="false" ht="14.25" hidden="false" customHeight="false" outlineLevel="0" collapsed="false">
      <c r="B9" s="11" t="s">
        <v>72</v>
      </c>
      <c r="C9" s="30" t="s">
        <v>133</v>
      </c>
      <c r="D9" s="30" t="s">
        <v>134</v>
      </c>
    </row>
    <row r="10" customFormat="false" ht="14.25" hidden="false" customHeight="false" outlineLevel="0" collapsed="false">
      <c r="B10" s="11" t="s">
        <v>135</v>
      </c>
      <c r="C10" s="34" t="n">
        <f aca="false">C4</f>
        <v>408.374472761021</v>
      </c>
      <c r="D10" s="34" t="n">
        <f aca="false">C6</f>
        <v>367.537025484919</v>
      </c>
    </row>
    <row r="11" customFormat="false" ht="14.25" hidden="false" customHeight="false" outlineLevel="0" collapsed="false">
      <c r="B11" s="5" t="s">
        <v>136</v>
      </c>
      <c r="C11" s="32" t="n">
        <f aca="false">C10*Premissas!C22*Premissas!C23</f>
        <v>49.0049367313225</v>
      </c>
      <c r="D11" s="32" t="n">
        <f aca="false">D10*Premissas!C22*Premissas!C24</f>
        <v>46.3096652110998</v>
      </c>
    </row>
    <row r="12" customFormat="false" ht="14.25" hidden="false" customHeight="false" outlineLevel="0" collapsed="false">
      <c r="B12" s="5" t="s">
        <v>137</v>
      </c>
      <c r="C12" s="32" t="n">
        <f aca="false">-C11*Premissas!C25</f>
        <v>-16.6616784886497</v>
      </c>
      <c r="D12" s="32" t="n">
        <f aca="false">-D11*Premissas!C26</f>
        <v>-12.5036096069969</v>
      </c>
    </row>
    <row r="13" customFormat="false" ht="14.25" hidden="false" customHeight="false" outlineLevel="0" collapsed="false">
      <c r="B13" s="11" t="s">
        <v>138</v>
      </c>
      <c r="C13" s="34" t="n">
        <f aca="false">SUM(C10:C12)</f>
        <v>440.717731003694</v>
      </c>
      <c r="D13" s="34" t="n">
        <f aca="false">SUM(D10:D12)</f>
        <v>401.343081089022</v>
      </c>
    </row>
    <row r="14" customFormat="false" ht="14.25" hidden="false" customHeight="false" outlineLevel="0" collapsed="false">
      <c r="B14" s="5" t="s">
        <v>139</v>
      </c>
      <c r="C14" s="32" t="n">
        <f aca="false">C13*Premissas!C22*Premissas!C23</f>
        <v>52.8861277204432</v>
      </c>
      <c r="D14" s="32" t="n">
        <f aca="false">D13*Premissas!C22*Premissas!C24</f>
        <v>50.5692282172167</v>
      </c>
    </row>
    <row r="15" customFormat="false" ht="14.25" hidden="false" customHeight="false" outlineLevel="0" collapsed="false">
      <c r="B15" s="5" t="s">
        <v>140</v>
      </c>
      <c r="C15" s="32" t="n">
        <f aca="false">-C14*Premissas!C25</f>
        <v>-17.9812834249507</v>
      </c>
      <c r="D15" s="32" t="n">
        <f aca="false">-D14*Premissas!C26</f>
        <v>-13.6536916186485</v>
      </c>
    </row>
    <row r="16" customFormat="false" ht="14.25" hidden="false" customHeight="false" outlineLevel="0" collapsed="false">
      <c r="B16" s="11" t="s">
        <v>141</v>
      </c>
      <c r="C16" s="34" t="n">
        <f aca="false">SUM(C13:C15)</f>
        <v>475.622575299186</v>
      </c>
      <c r="D16" s="34" t="n">
        <f aca="false">SUM(D13:D15)</f>
        <v>438.25861768759</v>
      </c>
    </row>
    <row r="17" customFormat="false" ht="14.25" hidden="false" customHeight="false" outlineLevel="0" collapsed="false">
      <c r="B17" s="39" t="s">
        <v>142</v>
      </c>
      <c r="C17" s="40" t="n">
        <f aca="false">C16-D16</f>
        <v>37.3639576115964</v>
      </c>
      <c r="D17" s="41"/>
    </row>
    <row r="19" customFormat="false" ht="15" hidden="false" customHeight="true" outlineLevel="0" collapsed="false"/>
  </sheetData>
  <mergeCells count="2">
    <mergeCell ref="B3:D3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8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44"/>
    <col collapsed="false" customWidth="true" hidden="false" outlineLevel="0" max="7" min="3" style="0" width="13"/>
  </cols>
  <sheetData>
    <row r="1" customFormat="false" ht="15" hidden="false" customHeight="true" outlineLevel="0" collapsed="false">
      <c r="B1" s="51" t="s">
        <v>143</v>
      </c>
    </row>
    <row r="3" customFormat="false" ht="15" hidden="false" customHeight="true" outlineLevel="0" collapsed="false">
      <c r="B3" s="2" t="s">
        <v>144</v>
      </c>
      <c r="C3" s="2"/>
      <c r="D3" s="2"/>
      <c r="E3" s="2"/>
      <c r="F3" s="2"/>
      <c r="G3" s="2"/>
    </row>
    <row r="4" customFormat="false" ht="14.25" hidden="false" customHeight="false" outlineLevel="0" collapsed="false">
      <c r="B4" s="5" t="s">
        <v>145</v>
      </c>
      <c r="C4" s="36" t="n">
        <f aca="false">'3. Cash Out'!F12</f>
        <v>0.3</v>
      </c>
      <c r="D4" s="5"/>
      <c r="E4" s="5"/>
      <c r="F4" s="5"/>
      <c r="G4" s="5"/>
    </row>
    <row r="5" customFormat="false" ht="14.25" hidden="false" customHeight="false" outlineLevel="0" collapsed="false">
      <c r="B5" s="5" t="s">
        <v>146</v>
      </c>
      <c r="C5" s="32" t="n">
        <f aca="false">'3. Cash Out'!C27</f>
        <v>83.3484918793504</v>
      </c>
      <c r="D5" s="5"/>
      <c r="E5" s="5"/>
      <c r="F5" s="5"/>
      <c r="G5" s="5"/>
    </row>
    <row r="6" customFormat="false" ht="14.25" hidden="false" customHeight="false" outlineLevel="0" collapsed="false">
      <c r="B6" s="5" t="s">
        <v>147</v>
      </c>
      <c r="C6" s="32" t="n">
        <f aca="false">'3. Cash Out'!D27</f>
        <v>323.4669</v>
      </c>
      <c r="D6" s="5"/>
      <c r="E6" s="5"/>
      <c r="F6" s="5"/>
      <c r="G6" s="5"/>
    </row>
    <row r="7" customFormat="false" ht="14.25" hidden="false" customHeight="false" outlineLevel="0" collapsed="false">
      <c r="B7" s="13" t="s">
        <v>148</v>
      </c>
      <c r="C7" s="38" t="n">
        <f aca="false">C6-C5</f>
        <v>240.11840812065</v>
      </c>
      <c r="D7" s="5"/>
      <c r="E7" s="5"/>
      <c r="F7" s="5"/>
      <c r="G7" s="5"/>
    </row>
    <row r="9" customFormat="false" ht="15" hidden="false" customHeight="true" outlineLevel="0" collapsed="false">
      <c r="B9" s="2" t="s">
        <v>149</v>
      </c>
      <c r="C9" s="2"/>
      <c r="D9" s="2"/>
      <c r="E9" s="2"/>
      <c r="F9" s="2"/>
      <c r="G9" s="2"/>
    </row>
    <row r="10" customFormat="false" ht="14.25" hidden="false" customHeight="false" outlineLevel="0" collapsed="false">
      <c r="B10" s="52" t="s">
        <v>150</v>
      </c>
      <c r="C10" s="53" t="n">
        <v>300</v>
      </c>
      <c r="D10" s="53" t="n">
        <v>600</v>
      </c>
      <c r="E10" s="53" t="n">
        <v>900</v>
      </c>
      <c r="F10" s="53" t="n">
        <v>1200</v>
      </c>
      <c r="G10" s="53" t="n">
        <v>1500</v>
      </c>
    </row>
    <row r="11" customFormat="false" ht="14.25" hidden="false" customHeight="false" outlineLevel="0" collapsed="false">
      <c r="B11" s="54" t="s">
        <v>151</v>
      </c>
      <c r="C11" s="9" t="n">
        <f aca="false">C10-$C$5</f>
        <v>216.65150812065</v>
      </c>
      <c r="D11" s="9" t="n">
        <f aca="false">D10-$C$5</f>
        <v>516.65150812065</v>
      </c>
      <c r="E11" s="9" t="n">
        <f aca="false">E10-$C$5</f>
        <v>816.65150812065</v>
      </c>
      <c r="F11" s="9" t="n">
        <f aca="false">F10-$C$5</f>
        <v>1116.65150812065</v>
      </c>
      <c r="G11" s="9" t="n">
        <f aca="false">G10-$C$5</f>
        <v>1416.65150812065</v>
      </c>
    </row>
    <row r="12" customFormat="false" ht="14.25" hidden="false" customHeight="false" outlineLevel="0" collapsed="false">
      <c r="B12" s="55" t="s">
        <v>152</v>
      </c>
      <c r="C12" s="56" t="n">
        <f aca="false">MAX(0,C11)*Premissas!C8</f>
        <v>73.6615127610209</v>
      </c>
      <c r="D12" s="56" t="n">
        <f aca="false">MAX(0,D11)*Premissas!C8</f>
        <v>175.661512761021</v>
      </c>
      <c r="E12" s="56" t="n">
        <f aca="false">MAX(0,E11)*Premissas!C8</f>
        <v>277.661512761021</v>
      </c>
      <c r="F12" s="56" t="n">
        <f aca="false">MAX(0,F11)*Premissas!C8</f>
        <v>379.661512761021</v>
      </c>
      <c r="G12" s="56" t="n">
        <f aca="false">MAX(0,G11)*Premissas!C8</f>
        <v>481.661512761021</v>
      </c>
    </row>
    <row r="13" customFormat="false" ht="14.25" hidden="false" customHeight="false" outlineLevel="0" collapsed="false">
      <c r="B13" s="54" t="s">
        <v>153</v>
      </c>
      <c r="C13" s="9" t="n">
        <f aca="false">C10-$C$6</f>
        <v>-23.4669</v>
      </c>
      <c r="D13" s="9" t="n">
        <f aca="false">D10-$C$6</f>
        <v>276.5331</v>
      </c>
      <c r="E13" s="9" t="n">
        <f aca="false">E10-$C$6</f>
        <v>576.5331</v>
      </c>
      <c r="F13" s="9" t="n">
        <f aca="false">F10-$C$6</f>
        <v>876.5331</v>
      </c>
      <c r="G13" s="9" t="n">
        <f aca="false">G10-$C$6</f>
        <v>1176.5331</v>
      </c>
    </row>
    <row r="14" customFormat="false" ht="14.25" hidden="false" customHeight="false" outlineLevel="0" collapsed="false">
      <c r="B14" s="57" t="s">
        <v>154</v>
      </c>
      <c r="C14" s="58" t="n">
        <f aca="false">MAX(0,C13)*Premissas!C8</f>
        <v>0</v>
      </c>
      <c r="D14" s="58" t="n">
        <f aca="false">MAX(0,D13)*Premissas!C8</f>
        <v>94.021254</v>
      </c>
      <c r="E14" s="58" t="n">
        <f aca="false">MAX(0,E13)*Premissas!C8</f>
        <v>196.021254</v>
      </c>
      <c r="F14" s="58" t="n">
        <f aca="false">MAX(0,F13)*Premissas!C8</f>
        <v>298.021254</v>
      </c>
      <c r="G14" s="58" t="n">
        <f aca="false">MAX(0,G13)*Premissas!C8</f>
        <v>400.021254</v>
      </c>
    </row>
    <row r="15" customFormat="false" ht="14.25" hidden="false" customHeight="false" outlineLevel="0" collapsed="false">
      <c r="B15" s="57" t="s">
        <v>155</v>
      </c>
      <c r="C15" s="58" t="n">
        <f aca="false">C12-C14</f>
        <v>73.6615127610209</v>
      </c>
      <c r="D15" s="58" t="n">
        <f aca="false">D12-D14</f>
        <v>81.6402587610209</v>
      </c>
      <c r="E15" s="58" t="n">
        <f aca="false">E12-E14</f>
        <v>81.6402587610209</v>
      </c>
      <c r="F15" s="58" t="n">
        <f aca="false">F12-F14</f>
        <v>81.6402587610209</v>
      </c>
      <c r="G15" s="58" t="n">
        <f aca="false">G12-G14</f>
        <v>81.6402587610209</v>
      </c>
    </row>
    <row r="16" customFormat="false" ht="14.25" hidden="false" customHeight="false" outlineLevel="0" collapsed="false">
      <c r="B16" s="59" t="s">
        <v>156</v>
      </c>
      <c r="C16" s="60" t="n">
        <f aca="false">C15*2</f>
        <v>147.323025522042</v>
      </c>
      <c r="D16" s="60" t="n">
        <f aca="false">D15*2</f>
        <v>163.280517522042</v>
      </c>
      <c r="E16" s="60" t="n">
        <f aca="false">E15*2</f>
        <v>163.280517522042</v>
      </c>
      <c r="F16" s="60" t="n">
        <f aca="false">F15*2</f>
        <v>163.280517522042</v>
      </c>
      <c r="G16" s="60" t="n">
        <f aca="false">G15*2</f>
        <v>163.280517522042</v>
      </c>
    </row>
    <row r="18" customFormat="false" ht="15" hidden="false" customHeight="true" outlineLevel="0" collapsed="false"/>
  </sheetData>
  <mergeCells count="2">
    <mergeCell ref="B3:G3"/>
    <mergeCell ref="B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2"/>
    <col collapsed="false" customWidth="true" hidden="false" outlineLevel="0" max="7" min="3" style="0" width="15"/>
    <col collapsed="false" customWidth="true" hidden="false" outlineLevel="0" max="8" min="8" style="0" width="58"/>
  </cols>
  <sheetData>
    <row r="1" customFormat="false" ht="44" hidden="false" customHeight="false" outlineLevel="0" collapsed="false">
      <c r="B1" s="1" t="s">
        <v>157</v>
      </c>
    </row>
    <row r="3" customFormat="false" ht="15" hidden="false" customHeight="true" outlineLevel="0" collapsed="false">
      <c r="B3" s="2" t="s">
        <v>158</v>
      </c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B4" s="3" t="s">
        <v>159</v>
      </c>
      <c r="C4" s="61" t="n">
        <f aca="false">'1. Situação Antes'!I18</f>
        <v>239.488</v>
      </c>
      <c r="D4" s="3"/>
      <c r="E4" s="3"/>
      <c r="F4" s="3"/>
      <c r="G4" s="3"/>
      <c r="H4" s="62" t="s">
        <v>160</v>
      </c>
    </row>
    <row r="5" customFormat="false" ht="15" hidden="false" customHeight="false" outlineLevel="0" collapsed="false">
      <c r="B5" s="5" t="s">
        <v>161</v>
      </c>
      <c r="C5" s="61" t="n">
        <f aca="false">'1. Situação Antes'!L18</f>
        <v>838.735</v>
      </c>
      <c r="D5" s="5"/>
      <c r="E5" s="5"/>
      <c r="F5" s="5"/>
      <c r="G5" s="5"/>
      <c r="H5" s="42" t="s">
        <v>160</v>
      </c>
    </row>
    <row r="6" customFormat="false" ht="15" hidden="false" customHeight="false" outlineLevel="0" collapsed="false">
      <c r="B6" s="3" t="s">
        <v>162</v>
      </c>
      <c r="C6" s="61" t="n">
        <f aca="false">C4+C5</f>
        <v>1078.223</v>
      </c>
      <c r="D6" s="3"/>
      <c r="E6" s="3"/>
      <c r="F6" s="3"/>
      <c r="G6" s="3"/>
      <c r="H6" s="62"/>
    </row>
    <row r="7" customFormat="false" ht="15" hidden="false" customHeight="false" outlineLevel="0" collapsed="false">
      <c r="B7" s="5" t="s">
        <v>163</v>
      </c>
      <c r="C7" s="63" t="n">
        <f aca="false">Premissas!C6</f>
        <v>0.138</v>
      </c>
      <c r="D7" s="5"/>
      <c r="E7" s="5"/>
      <c r="F7" s="5"/>
      <c r="G7" s="5"/>
      <c r="H7" s="42" t="s">
        <v>0</v>
      </c>
    </row>
    <row r="8" customFormat="false" ht="15" hidden="false" customHeight="false" outlineLevel="0" collapsed="false">
      <c r="B8" s="3" t="s">
        <v>164</v>
      </c>
      <c r="C8" s="63" t="n">
        <f aca="false">Premissas!C7</f>
        <v>0.4</v>
      </c>
      <c r="D8" s="3"/>
      <c r="E8" s="3"/>
      <c r="F8" s="3"/>
      <c r="G8" s="3"/>
      <c r="H8" s="62" t="s">
        <v>0</v>
      </c>
    </row>
    <row r="9" customFormat="false" ht="15" hidden="false" customHeight="false" outlineLevel="0" collapsed="false">
      <c r="B9" s="5" t="s">
        <v>165</v>
      </c>
      <c r="C9" s="63" t="n">
        <f aca="false">1-C8</f>
        <v>0.6</v>
      </c>
      <c r="D9" s="5"/>
      <c r="E9" s="5"/>
      <c r="F9" s="5"/>
      <c r="G9" s="5"/>
      <c r="H9" s="42"/>
    </row>
    <row r="10" customFormat="false" ht="15" hidden="false" customHeight="false" outlineLevel="0" collapsed="false">
      <c r="B10" s="3" t="s">
        <v>166</v>
      </c>
      <c r="C10" s="63" t="n">
        <f aca="false">Premissas!C8</f>
        <v>0.34</v>
      </c>
      <c r="D10" s="3"/>
      <c r="E10" s="3"/>
      <c r="F10" s="3"/>
      <c r="G10" s="3"/>
      <c r="H10" s="62" t="s">
        <v>0</v>
      </c>
    </row>
    <row r="11" customFormat="false" ht="15" hidden="false" customHeight="false" outlineLevel="0" collapsed="false">
      <c r="B11" s="5" t="s">
        <v>167</v>
      </c>
      <c r="C11" s="36" t="n">
        <f aca="false">Premissas!C15</f>
        <v>0.653579676674365</v>
      </c>
      <c r="D11" s="5"/>
      <c r="E11" s="5"/>
      <c r="F11" s="5"/>
      <c r="G11" s="5"/>
      <c r="H11" s="42" t="s">
        <v>0</v>
      </c>
    </row>
    <row r="12" customFormat="false" ht="15" hidden="false" customHeight="false" outlineLevel="0" collapsed="false">
      <c r="B12" s="3" t="s">
        <v>168</v>
      </c>
      <c r="C12" s="36" t="n">
        <f aca="false">Premissas!C14</f>
        <v>0.346420323325635</v>
      </c>
      <c r="D12" s="3"/>
      <c r="E12" s="3"/>
      <c r="F12" s="3"/>
      <c r="G12" s="3"/>
      <c r="H12" s="62" t="s">
        <v>0</v>
      </c>
    </row>
    <row r="13" customFormat="false" ht="15" hidden="false" customHeight="false" outlineLevel="0" collapsed="false">
      <c r="B13" s="5" t="s">
        <v>169</v>
      </c>
      <c r="C13" s="64" t="n">
        <v>5888</v>
      </c>
      <c r="D13" s="5"/>
      <c r="E13" s="5"/>
      <c r="F13" s="5"/>
      <c r="G13" s="5"/>
      <c r="H13" s="42" t="s">
        <v>170</v>
      </c>
    </row>
    <row r="14" customFormat="false" ht="15" hidden="false" customHeight="false" outlineLevel="0" collapsed="false">
      <c r="B14" s="3" t="s">
        <v>171</v>
      </c>
      <c r="C14" s="61" t="n">
        <f aca="false">Premissas!C12</f>
        <v>866</v>
      </c>
      <c r="D14" s="3"/>
      <c r="E14" s="3"/>
      <c r="F14" s="3"/>
      <c r="G14" s="3"/>
      <c r="H14" s="62" t="s">
        <v>172</v>
      </c>
    </row>
    <row r="15" customFormat="false" ht="15" hidden="false" customHeight="false" outlineLevel="0" collapsed="false">
      <c r="B15" s="5" t="s">
        <v>173</v>
      </c>
      <c r="C15" s="61" t="n">
        <f aca="false">C13-C14</f>
        <v>5022</v>
      </c>
      <c r="D15" s="5"/>
      <c r="E15" s="5"/>
      <c r="F15" s="5"/>
      <c r="G15" s="5"/>
      <c r="H15" s="42" t="s">
        <v>174</v>
      </c>
    </row>
    <row r="16" customFormat="false" ht="22.35" hidden="false" customHeight="false" outlineLevel="0" collapsed="false">
      <c r="B16" s="3" t="s">
        <v>175</v>
      </c>
      <c r="C16" s="61" t="n">
        <f aca="false">C4*(C8-C7)/2</f>
        <v>31.372928</v>
      </c>
      <c r="D16" s="3"/>
      <c r="E16" s="3"/>
      <c r="F16" s="3"/>
      <c r="G16" s="3"/>
      <c r="H16" s="62" t="s">
        <v>176</v>
      </c>
    </row>
    <row r="17" customFormat="false" ht="15" hidden="false" customHeight="false" outlineLevel="0" collapsed="false">
      <c r="B17" s="5" t="s">
        <v>177</v>
      </c>
      <c r="C17" s="64" t="n">
        <v>18</v>
      </c>
      <c r="D17" s="5"/>
      <c r="E17" s="5"/>
      <c r="F17" s="5"/>
      <c r="G17" s="5"/>
      <c r="H17" s="42" t="s">
        <v>178</v>
      </c>
    </row>
    <row r="18" customFormat="false" ht="15" hidden="false" customHeight="false" outlineLevel="0" collapsed="false">
      <c r="B18" s="3" t="s">
        <v>179</v>
      </c>
      <c r="C18" s="65" t="n">
        <v>0.225</v>
      </c>
      <c r="D18" s="3"/>
      <c r="E18" s="3"/>
      <c r="F18" s="3"/>
      <c r="G18" s="3"/>
      <c r="H18" s="62" t="s">
        <v>180</v>
      </c>
    </row>
    <row r="19" customFormat="false" ht="15" hidden="false" customHeight="false" outlineLevel="0" collapsed="false">
      <c r="B19" s="5" t="s">
        <v>181</v>
      </c>
      <c r="C19" s="64" t="n">
        <v>1000</v>
      </c>
      <c r="D19" s="5"/>
      <c r="E19" s="5"/>
      <c r="F19" s="5"/>
      <c r="G19" s="5"/>
      <c r="H19" s="42" t="s">
        <v>182</v>
      </c>
    </row>
    <row r="20" customFormat="false" ht="15" hidden="false" customHeight="false" outlineLevel="0" collapsed="false">
      <c r="B20" s="3" t="s">
        <v>183</v>
      </c>
      <c r="C20" s="61" t="n">
        <f aca="false">C13*C9</f>
        <v>3532.8</v>
      </c>
      <c r="D20" s="3"/>
      <c r="E20" s="3"/>
      <c r="F20" s="3"/>
      <c r="G20" s="3"/>
      <c r="H20" s="62" t="s">
        <v>184</v>
      </c>
    </row>
    <row r="21" customFormat="false" ht="15" hidden="false" customHeight="false" outlineLevel="0" collapsed="false">
      <c r="B21" s="5" t="s">
        <v>185</v>
      </c>
      <c r="C21" s="64" t="n">
        <v>5000</v>
      </c>
      <c r="D21" s="5"/>
      <c r="E21" s="5"/>
      <c r="F21" s="5"/>
      <c r="G21" s="5"/>
      <c r="H21" s="42" t="s">
        <v>182</v>
      </c>
    </row>
    <row r="23" customFormat="false" ht="15" hidden="false" customHeight="true" outlineLevel="0" collapsed="false">
      <c r="B23" s="2" t="s">
        <v>186</v>
      </c>
      <c r="C23" s="2"/>
      <c r="D23" s="2"/>
      <c r="E23" s="2"/>
      <c r="F23" s="2"/>
      <c r="G23" s="2"/>
      <c r="H23" s="2"/>
    </row>
    <row r="24" customFormat="false" ht="22.35" hidden="false" customHeight="false" outlineLevel="0" collapsed="false">
      <c r="B24" s="11" t="s">
        <v>187</v>
      </c>
      <c r="C24" s="31" t="s">
        <v>188</v>
      </c>
      <c r="D24" s="31" t="s">
        <v>189</v>
      </c>
      <c r="E24" s="31" t="s">
        <v>190</v>
      </c>
      <c r="F24" s="31" t="s">
        <v>191</v>
      </c>
      <c r="G24" s="3"/>
      <c r="H24" s="31" t="s">
        <v>192</v>
      </c>
    </row>
    <row r="25" customFormat="false" ht="22.35" hidden="false" customHeight="false" outlineLevel="0" collapsed="false">
      <c r="B25" s="5" t="s">
        <v>193</v>
      </c>
      <c r="C25" s="61" t="n">
        <f aca="false">C4</f>
        <v>239.488</v>
      </c>
      <c r="D25" s="61" t="n">
        <f aca="false">C4</f>
        <v>239.488</v>
      </c>
      <c r="E25" s="61" t="n">
        <f aca="false">D25-C16</f>
        <v>208.115072</v>
      </c>
      <c r="F25" s="61" t="n">
        <f aca="false">E25-D25</f>
        <v>-31.372928</v>
      </c>
      <c r="G25" s="5"/>
      <c r="H25" s="66" t="s">
        <v>194</v>
      </c>
    </row>
    <row r="26" customFormat="false" ht="32.8" hidden="false" customHeight="false" outlineLevel="0" collapsed="false">
      <c r="B26" s="5" t="s">
        <v>195</v>
      </c>
      <c r="C26" s="61" t="n">
        <f aca="false">C5*C11</f>
        <v>548.180150115474</v>
      </c>
      <c r="D26" s="61" t="n">
        <v>0</v>
      </c>
      <c r="E26" s="61" t="n">
        <f aca="false">E28-E25-E27</f>
        <v>264.485818069284</v>
      </c>
      <c r="F26" s="61" t="n">
        <f aca="false">E26-D26</f>
        <v>264.485818069284</v>
      </c>
      <c r="G26" s="5"/>
      <c r="H26" s="66" t="s">
        <v>196</v>
      </c>
    </row>
    <row r="27" customFormat="false" ht="22.35" hidden="false" customHeight="false" outlineLevel="0" collapsed="false">
      <c r="B27" s="5" t="s">
        <v>197</v>
      </c>
      <c r="C27" s="61" t="n">
        <f aca="false">C5*C12</f>
        <v>290.554849884527</v>
      </c>
      <c r="D27" s="61" t="n">
        <v>0</v>
      </c>
      <c r="E27" s="61" t="n">
        <f aca="false">C27*C9</f>
        <v>174.332909930716</v>
      </c>
      <c r="F27" s="61" t="n">
        <f aca="false">E27-D27</f>
        <v>174.332909930716</v>
      </c>
      <c r="G27" s="5"/>
      <c r="H27" s="66" t="s">
        <v>198</v>
      </c>
    </row>
    <row r="28" customFormat="false" ht="32.8" hidden="false" customHeight="false" outlineLevel="0" collapsed="false">
      <c r="B28" s="11" t="s">
        <v>199</v>
      </c>
      <c r="C28" s="67" t="n">
        <f aca="false">SUM(C25:C27)</f>
        <v>1078.223</v>
      </c>
      <c r="D28" s="67" t="n">
        <f aca="false">SUM(D25:D27)</f>
        <v>239.488</v>
      </c>
      <c r="E28" s="67" t="n">
        <f aca="false">C28*C9</f>
        <v>646.9338</v>
      </c>
      <c r="F28" s="67" t="n">
        <f aca="false">E28-D28</f>
        <v>407.4458</v>
      </c>
      <c r="G28" s="3"/>
      <c r="H28" s="68" t="s">
        <v>200</v>
      </c>
    </row>
    <row r="29" customFormat="false" ht="15" hidden="false" customHeight="false" outlineLevel="0" collapsed="false">
      <c r="B29" s="42" t="s">
        <v>201</v>
      </c>
      <c r="C29" s="69" t="n">
        <f aca="false">E25+E26+E27-E28</f>
        <v>0</v>
      </c>
      <c r="D29" s="5"/>
      <c r="E29" s="5"/>
      <c r="F29" s="5"/>
      <c r="G29" s="5"/>
      <c r="H29" s="5"/>
    </row>
    <row r="30" customFormat="false" ht="15" hidden="false" customHeight="false" outlineLevel="0" collapsed="false">
      <c r="B30" s="42" t="s">
        <v>202</v>
      </c>
      <c r="C30" s="69" t="n">
        <f aca="false">E25+E27</f>
        <v>382.447981930716</v>
      </c>
      <c r="D30" s="5"/>
      <c r="E30" s="5"/>
      <c r="F30" s="5"/>
      <c r="G30" s="5"/>
      <c r="H30" s="42" t="s">
        <v>203</v>
      </c>
    </row>
    <row r="31" customFormat="false" ht="22.35" hidden="false" customHeight="false" outlineLevel="0" collapsed="false">
      <c r="B31" s="42" t="s">
        <v>204</v>
      </c>
      <c r="C31" s="69" t="n">
        <f aca="false">E26*C10</f>
        <v>89.9251781435566</v>
      </c>
      <c r="D31" s="69" t="n">
        <f aca="false">E27*C10</f>
        <v>59.2731893764434</v>
      </c>
      <c r="E31" s="5"/>
      <c r="F31" s="5"/>
      <c r="G31" s="5"/>
      <c r="H31" s="42" t="s">
        <v>205</v>
      </c>
    </row>
    <row r="33" customFormat="false" ht="15" hidden="false" customHeight="true" outlineLevel="0" collapsed="false">
      <c r="B33" s="2" t="s">
        <v>206</v>
      </c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B34" s="11" t="s">
        <v>72</v>
      </c>
      <c r="C34" s="31" t="s">
        <v>207</v>
      </c>
      <c r="D34" s="31" t="s">
        <v>208</v>
      </c>
      <c r="E34" s="3"/>
      <c r="F34" s="3"/>
      <c r="G34" s="3"/>
      <c r="H34" s="31" t="s">
        <v>192</v>
      </c>
    </row>
    <row r="35" customFormat="false" ht="22.35" hidden="false" customHeight="false" outlineLevel="0" collapsed="false">
      <c r="B35" s="5" t="s">
        <v>209</v>
      </c>
      <c r="C35" s="61" t="n">
        <f aca="false">C4+C5*C11</f>
        <v>787.668150115474</v>
      </c>
      <c r="D35" s="61" t="n">
        <f aca="false">C35*C9</f>
        <v>472.600890069284</v>
      </c>
      <c r="E35" s="5"/>
      <c r="F35" s="5"/>
      <c r="G35" s="5"/>
      <c r="H35" s="66" t="s">
        <v>210</v>
      </c>
    </row>
    <row r="36" customFormat="false" ht="22.35" hidden="false" customHeight="false" outlineLevel="0" collapsed="false">
      <c r="B36" s="5" t="s">
        <v>211</v>
      </c>
      <c r="C36" s="61" t="n">
        <f aca="false">C13-C35</f>
        <v>5100.33184988453</v>
      </c>
      <c r="D36" s="61" t="n">
        <f aca="false">C13*C9-D35</f>
        <v>3060.19910993072</v>
      </c>
      <c r="E36" s="5"/>
      <c r="F36" s="5"/>
      <c r="G36" s="5"/>
      <c r="H36" s="66" t="s">
        <v>212</v>
      </c>
    </row>
    <row r="37" customFormat="false" ht="22.35" hidden="false" customHeight="false" outlineLevel="0" collapsed="false">
      <c r="B37" s="11" t="s">
        <v>213</v>
      </c>
      <c r="C37" s="67" t="n">
        <f aca="false">C35+C36</f>
        <v>5888</v>
      </c>
      <c r="D37" s="67" t="n">
        <f aca="false">D35+D36</f>
        <v>3532.8</v>
      </c>
      <c r="E37" s="3"/>
      <c r="F37" s="3"/>
      <c r="G37" s="3"/>
      <c r="H37" s="68" t="s">
        <v>214</v>
      </c>
    </row>
    <row r="38" customFormat="false" ht="22.35" hidden="false" customHeight="false" outlineLevel="0" collapsed="false">
      <c r="B38" s="11" t="s">
        <v>215</v>
      </c>
      <c r="C38" s="67" t="n">
        <f aca="false">C36*C10</f>
        <v>1734.11282896074</v>
      </c>
      <c r="D38" s="67" t="n">
        <f aca="false">D36*C10</f>
        <v>1040.46769737644</v>
      </c>
      <c r="E38" s="3"/>
      <c r="F38" s="3"/>
      <c r="G38" s="3"/>
      <c r="H38" s="68" t="s">
        <v>216</v>
      </c>
    </row>
    <row r="40" customFormat="false" ht="15" hidden="false" customHeight="true" outlineLevel="0" collapsed="false">
      <c r="B40" s="2" t="s">
        <v>217</v>
      </c>
      <c r="C40" s="2"/>
      <c r="D40" s="2"/>
      <c r="E40" s="2"/>
      <c r="F40" s="2"/>
      <c r="G40" s="2"/>
      <c r="H40" s="2"/>
    </row>
    <row r="41" customFormat="false" ht="22.35" hidden="false" customHeight="false" outlineLevel="0" collapsed="false">
      <c r="B41" s="11" t="s">
        <v>218</v>
      </c>
      <c r="C41" s="31" t="s">
        <v>219</v>
      </c>
      <c r="D41" s="31" t="s">
        <v>220</v>
      </c>
      <c r="E41" s="31" t="s">
        <v>221</v>
      </c>
      <c r="F41" s="31" t="s">
        <v>222</v>
      </c>
      <c r="G41" s="3"/>
      <c r="H41" s="31" t="s">
        <v>192</v>
      </c>
    </row>
    <row r="42" customFormat="false" ht="22.35" hidden="false" customHeight="false" outlineLevel="0" collapsed="false">
      <c r="B42" s="70" t="n">
        <f aca="false">C19</f>
        <v>1000</v>
      </c>
      <c r="C42" s="61" t="n">
        <f aca="false">(B42-$E$28)*$C$10</f>
        <v>120.042508</v>
      </c>
      <c r="D42" s="61" t="n">
        <f aca="false">MAX($D$38,(B42-$D$35)*$C$10)</f>
        <v>1040.46769737644</v>
      </c>
      <c r="E42" s="61" t="n">
        <f aca="false">(B42-$C$17)*$C$18</f>
        <v>220.95</v>
      </c>
      <c r="F42" s="61" t="n">
        <f aca="false">$D$38+MAX(0,B42-$C$20)*$C$18</f>
        <v>1040.46769737644</v>
      </c>
      <c r="G42" s="5"/>
      <c r="H42" s="66" t="s">
        <v>223</v>
      </c>
    </row>
    <row r="43" customFormat="false" ht="32.8" hidden="false" customHeight="false" outlineLevel="0" collapsed="false">
      <c r="B43" s="70" t="n">
        <f aca="false">C20</f>
        <v>3532.8</v>
      </c>
      <c r="C43" s="61" t="n">
        <f aca="false">(B43-$E$28)*$C$10</f>
        <v>981.194508</v>
      </c>
      <c r="D43" s="61" t="n">
        <f aca="false">MAX($D$38,(B43-$D$35)*$C$10)</f>
        <v>1040.46769737644</v>
      </c>
      <c r="E43" s="61" t="n">
        <f aca="false">(B43-$C$17)*$C$18</f>
        <v>790.83</v>
      </c>
      <c r="F43" s="61" t="n">
        <f aca="false">$D$38+MAX(0,B43-$C$20)*$C$18</f>
        <v>1040.46769737644</v>
      </c>
      <c r="G43" s="5"/>
      <c r="H43" s="66" t="s">
        <v>224</v>
      </c>
    </row>
    <row r="44" customFormat="false" ht="32.8" hidden="false" customHeight="false" outlineLevel="0" collapsed="false">
      <c r="B44" s="70" t="n">
        <f aca="false">C21</f>
        <v>5000</v>
      </c>
      <c r="C44" s="61" t="n">
        <f aca="false">(B44-$E$28)*$C$10</f>
        <v>1480.042508</v>
      </c>
      <c r="D44" s="61" t="n">
        <f aca="false">MAX($D$38,(B44-$D$35)*$C$10)</f>
        <v>1539.31569737644</v>
      </c>
      <c r="E44" s="61" t="n">
        <f aca="false">(B44-$C$17)*$C$18</f>
        <v>1120.95</v>
      </c>
      <c r="F44" s="61" t="n">
        <f aca="false">$D$38+MAX(0,B44-$C$20)*$C$18</f>
        <v>1370.58769737644</v>
      </c>
      <c r="G44" s="5"/>
      <c r="H44" s="66" t="s">
        <v>225</v>
      </c>
    </row>
    <row r="45" customFormat="false" ht="25.5" hidden="false" customHeight="true" outlineLevel="0" collapsed="false">
      <c r="B45" s="71" t="s">
        <v>226</v>
      </c>
      <c r="C45" s="71"/>
      <c r="D45" s="71"/>
      <c r="E45" s="71"/>
      <c r="F45" s="71"/>
      <c r="G45" s="71"/>
      <c r="H45" s="71"/>
    </row>
    <row r="47" customFormat="false" ht="15" hidden="false" customHeight="true" outlineLevel="0" collapsed="false">
      <c r="B47" s="2" t="s">
        <v>227</v>
      </c>
      <c r="C47" s="2"/>
      <c r="D47" s="2"/>
      <c r="E47" s="2"/>
      <c r="F47" s="2"/>
      <c r="G47" s="2"/>
      <c r="H47" s="2"/>
    </row>
    <row r="48" customFormat="false" ht="22.35" hidden="false" customHeight="false" outlineLevel="0" collapsed="false">
      <c r="B48" s="11" t="s">
        <v>218</v>
      </c>
      <c r="C48" s="31" t="s">
        <v>228</v>
      </c>
      <c r="D48" s="31" t="s">
        <v>229</v>
      </c>
      <c r="E48" s="31" t="s">
        <v>230</v>
      </c>
      <c r="F48" s="31" t="s">
        <v>231</v>
      </c>
      <c r="G48" s="3"/>
      <c r="H48" s="31" t="s">
        <v>192</v>
      </c>
    </row>
    <row r="49" customFormat="false" ht="22.35" hidden="false" customHeight="false" outlineLevel="0" collapsed="false">
      <c r="B49" s="70" t="n">
        <f aca="false">B42</f>
        <v>1000</v>
      </c>
      <c r="C49" s="61" t="n">
        <f aca="false">(B49-$E$28)*$C$10</f>
        <v>120.042508</v>
      </c>
      <c r="D49" s="61" t="n">
        <f aca="false">(B49-($E$25+$E$26))*$C$10</f>
        <v>179.315697376444</v>
      </c>
      <c r="E49" s="61" t="n">
        <f aca="false">(B49-$E$25)*$C$10</f>
        <v>269.24087552</v>
      </c>
      <c r="F49" s="61" t="n">
        <f aca="false">D42</f>
        <v>1040.46769737644</v>
      </c>
      <c r="G49" s="5"/>
      <c r="H49" s="66" t="s">
        <v>232</v>
      </c>
    </row>
    <row r="50" customFormat="false" ht="22.35" hidden="false" customHeight="false" outlineLevel="0" collapsed="false">
      <c r="B50" s="70" t="n">
        <f aca="false">B43</f>
        <v>3532.8</v>
      </c>
      <c r="C50" s="61" t="n">
        <f aca="false">(B50-$E$28)*$C$10</f>
        <v>981.194508</v>
      </c>
      <c r="D50" s="61" t="n">
        <f aca="false">(B50-($E$25+$E$26))*$C$10</f>
        <v>1040.46769737644</v>
      </c>
      <c r="E50" s="61" t="n">
        <f aca="false">(B50-$E$25)*$C$10</f>
        <v>1130.39287552</v>
      </c>
      <c r="F50" s="61" t="n">
        <f aca="false">D43</f>
        <v>1040.46769737644</v>
      </c>
      <c r="G50" s="5"/>
      <c r="H50" s="66" t="s">
        <v>233</v>
      </c>
    </row>
    <row r="51" customFormat="false" ht="22.35" hidden="false" customHeight="false" outlineLevel="0" collapsed="false">
      <c r="B51" s="70" t="n">
        <f aca="false">B44</f>
        <v>5000</v>
      </c>
      <c r="C51" s="61" t="n">
        <f aca="false">(B51-$E$28)*$C$10</f>
        <v>1480.042508</v>
      </c>
      <c r="D51" s="61" t="n">
        <f aca="false">(B51-($E$25+$E$26))*$C$10</f>
        <v>1539.31569737644</v>
      </c>
      <c r="E51" s="61" t="n">
        <f aca="false">(B51-$E$25)*$C$10</f>
        <v>1629.24087552</v>
      </c>
      <c r="F51" s="61" t="n">
        <f aca="false">D44</f>
        <v>1539.31569737644</v>
      </c>
      <c r="G51" s="5"/>
      <c r="H51" s="66" t="s">
        <v>234</v>
      </c>
    </row>
    <row r="54" customFormat="false" ht="15" hidden="false" customHeight="true" outlineLevel="0" collapsed="false">
      <c r="B54" s="2" t="s">
        <v>235</v>
      </c>
      <c r="C54" s="2"/>
      <c r="D54" s="2"/>
      <c r="E54" s="2"/>
      <c r="F54" s="2"/>
      <c r="G54" s="2"/>
      <c r="H54" s="2"/>
    </row>
    <row r="55" customFormat="false" ht="15" hidden="false" customHeight="false" outlineLevel="0" collapsed="false">
      <c r="B55" s="11" t="s">
        <v>236</v>
      </c>
      <c r="C55" s="31" t="s">
        <v>237</v>
      </c>
      <c r="D55" s="3"/>
      <c r="E55" s="3"/>
      <c r="F55" s="3"/>
      <c r="G55" s="3"/>
      <c r="H55" s="31" t="s">
        <v>192</v>
      </c>
    </row>
    <row r="56" customFormat="false" ht="15" hidden="false" customHeight="false" outlineLevel="0" collapsed="false">
      <c r="B56" s="5" t="s">
        <v>238</v>
      </c>
      <c r="C56" s="61" t="n">
        <f aca="false">-D35</f>
        <v>-472.600890069284</v>
      </c>
      <c r="D56" s="5"/>
      <c r="E56" s="5"/>
      <c r="F56" s="5"/>
      <c r="G56" s="5"/>
      <c r="H56" s="66" t="s">
        <v>239</v>
      </c>
    </row>
    <row r="57" customFormat="false" ht="15" hidden="false" customHeight="false" outlineLevel="0" collapsed="false">
      <c r="B57" s="5" t="s">
        <v>240</v>
      </c>
      <c r="C57" s="61" t="n">
        <f aca="false">-D36</f>
        <v>-3060.19910993072</v>
      </c>
      <c r="D57" s="5"/>
      <c r="E57" s="5"/>
      <c r="F57" s="5"/>
      <c r="G57" s="5"/>
      <c r="H57" s="66" t="s">
        <v>241</v>
      </c>
    </row>
    <row r="58" customFormat="false" ht="15" hidden="false" customHeight="false" outlineLevel="0" collapsed="false">
      <c r="B58" s="5" t="s">
        <v>242</v>
      </c>
      <c r="C58" s="61" t="n">
        <f aca="false">C19</f>
        <v>1000</v>
      </c>
      <c r="D58" s="5"/>
      <c r="E58" s="5"/>
      <c r="F58" s="5"/>
      <c r="G58" s="5"/>
      <c r="H58" s="66" t="s">
        <v>243</v>
      </c>
    </row>
    <row r="59" customFormat="false" ht="15" hidden="false" customHeight="false" outlineLevel="0" collapsed="false">
      <c r="B59" s="11" t="s">
        <v>244</v>
      </c>
      <c r="C59" s="67" t="n">
        <f aca="false">SUM(C56:C58)</f>
        <v>-2532.8</v>
      </c>
      <c r="D59" s="3"/>
      <c r="E59" s="3"/>
      <c r="F59" s="3"/>
      <c r="G59" s="3"/>
      <c r="H59" s="68" t="s">
        <v>245</v>
      </c>
    </row>
    <row r="60" customFormat="false" ht="15" hidden="false" customHeight="false" outlineLevel="0" collapsed="false">
      <c r="B60" s="5" t="s">
        <v>246</v>
      </c>
      <c r="C60" s="61" t="n">
        <f aca="false">C59*C10</f>
        <v>-861.152</v>
      </c>
      <c r="D60" s="5"/>
      <c r="E60" s="5"/>
      <c r="F60" s="5"/>
      <c r="G60" s="5"/>
      <c r="H60" s="66" t="s">
        <v>247</v>
      </c>
    </row>
    <row r="61" customFormat="false" ht="15" hidden="false" customHeight="false" outlineLevel="0" collapsed="false">
      <c r="B61" s="5" t="s">
        <v>248</v>
      </c>
      <c r="C61" s="61" t="n">
        <f aca="false">D38</f>
        <v>1040.46769737644</v>
      </c>
      <c r="D61" s="5"/>
      <c r="E61" s="5"/>
      <c r="F61" s="5"/>
      <c r="G61" s="5"/>
      <c r="H61" s="66" t="s">
        <v>249</v>
      </c>
    </row>
    <row r="62" customFormat="false" ht="15" hidden="false" customHeight="false" outlineLevel="0" collapsed="false">
      <c r="B62" s="11" t="s">
        <v>250</v>
      </c>
      <c r="C62" s="67" t="n">
        <f aca="false">C60+C61</f>
        <v>179.315697376443</v>
      </c>
      <c r="D62" s="3"/>
      <c r="E62" s="3"/>
      <c r="F62" s="3"/>
      <c r="G62" s="3"/>
      <c r="H62" s="68" t="s">
        <v>251</v>
      </c>
    </row>
    <row r="63" customFormat="false" ht="15" hidden="false" customHeight="false" outlineLevel="0" collapsed="false">
      <c r="B63" s="5" t="s">
        <v>252</v>
      </c>
      <c r="C63" s="61" t="n">
        <f aca="false">(C58-D35)*C10</f>
        <v>179.315697376443</v>
      </c>
      <c r="D63" s="5"/>
      <c r="E63" s="5"/>
      <c r="F63" s="5"/>
      <c r="G63" s="5"/>
      <c r="H63" s="66" t="s">
        <v>253</v>
      </c>
    </row>
    <row r="64" customFormat="false" ht="22.35" hidden="false" customHeight="false" outlineLevel="0" collapsed="false">
      <c r="B64" s="11" t="s">
        <v>254</v>
      </c>
      <c r="C64" s="67" t="n">
        <f aca="false">D38</f>
        <v>1040.46769737644</v>
      </c>
      <c r="D64" s="3"/>
      <c r="E64" s="3"/>
      <c r="F64" s="3"/>
      <c r="G64" s="3"/>
      <c r="H64" s="68" t="s">
        <v>255</v>
      </c>
    </row>
    <row r="65" customFormat="false" ht="22.35" hidden="false" customHeight="false" outlineLevel="0" collapsed="false">
      <c r="B65" s="5" t="s">
        <v>256</v>
      </c>
      <c r="C65" s="61" t="n">
        <f aca="false">C63+D38</f>
        <v>1219.78339475289</v>
      </c>
      <c r="D65" s="5"/>
      <c r="E65" s="5"/>
      <c r="F65" s="5"/>
      <c r="G65" s="5"/>
      <c r="H65" s="66" t="s">
        <v>257</v>
      </c>
    </row>
    <row r="67" customFormat="false" ht="15" hidden="false" customHeight="true" outlineLevel="0" collapsed="false">
      <c r="B67" s="2" t="s">
        <v>258</v>
      </c>
      <c r="C67" s="2"/>
      <c r="D67" s="2"/>
      <c r="E67" s="2"/>
      <c r="F67" s="2"/>
      <c r="G67" s="2"/>
      <c r="H67" s="2"/>
    </row>
    <row r="68" customFormat="false" ht="43.5" hidden="false" customHeight="true" outlineLevel="0" collapsed="false">
      <c r="B68" s="72" t="s">
        <v>259</v>
      </c>
      <c r="C68" s="73" t="s">
        <v>260</v>
      </c>
      <c r="D68" s="73"/>
      <c r="E68" s="73"/>
      <c r="F68" s="73"/>
      <c r="G68" s="73"/>
      <c r="H68" s="73"/>
    </row>
    <row r="69" customFormat="false" ht="43.5" hidden="false" customHeight="true" outlineLevel="0" collapsed="false">
      <c r="B69" s="72" t="s">
        <v>261</v>
      </c>
      <c r="C69" s="73" t="s">
        <v>262</v>
      </c>
      <c r="D69" s="73"/>
      <c r="E69" s="73"/>
      <c r="F69" s="73"/>
      <c r="G69" s="73"/>
      <c r="H69" s="73"/>
    </row>
    <row r="70" customFormat="false" ht="43.5" hidden="false" customHeight="true" outlineLevel="0" collapsed="false">
      <c r="B70" s="72" t="s">
        <v>263</v>
      </c>
      <c r="C70" s="73" t="s">
        <v>264</v>
      </c>
      <c r="D70" s="73"/>
      <c r="E70" s="73"/>
      <c r="F70" s="73"/>
      <c r="G70" s="73"/>
      <c r="H70" s="73"/>
    </row>
    <row r="71" customFormat="false" ht="43.5" hidden="false" customHeight="true" outlineLevel="0" collapsed="false">
      <c r="B71" s="72" t="s">
        <v>265</v>
      </c>
      <c r="C71" s="73" t="s">
        <v>266</v>
      </c>
      <c r="D71" s="73"/>
      <c r="E71" s="73"/>
      <c r="F71" s="73"/>
      <c r="G71" s="73"/>
      <c r="H71" s="73"/>
    </row>
    <row r="72" customFormat="false" ht="43.5" hidden="false" customHeight="true" outlineLevel="0" collapsed="false">
      <c r="B72" s="72" t="s">
        <v>267</v>
      </c>
      <c r="C72" s="73" t="s">
        <v>268</v>
      </c>
      <c r="D72" s="73"/>
      <c r="E72" s="73"/>
      <c r="F72" s="73"/>
      <c r="G72" s="73"/>
      <c r="H72" s="73"/>
    </row>
  </sheetData>
  <mergeCells count="13">
    <mergeCell ref="B3:H3"/>
    <mergeCell ref="B23:H23"/>
    <mergeCell ref="B33:H33"/>
    <mergeCell ref="B40:H40"/>
    <mergeCell ref="B45:H45"/>
    <mergeCell ref="B47:H47"/>
    <mergeCell ref="B54:H54"/>
    <mergeCell ref="B67:H67"/>
    <mergeCell ref="C68:H68"/>
    <mergeCell ref="C69:H69"/>
    <mergeCell ref="C70:H70"/>
    <mergeCell ref="C71:H71"/>
    <mergeCell ref="C72:H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52"/>
    <col collapsed="false" customWidth="true" hidden="false" outlineLevel="0" max="3" min="3" style="0" width="16.36"/>
    <col collapsed="false" customWidth="true" hidden="false" outlineLevel="0" max="4" min="4" style="0" width="20.91"/>
    <col collapsed="false" customWidth="true" hidden="false" outlineLevel="0" max="5" min="5" style="0" width="16"/>
  </cols>
  <sheetData>
    <row r="1" customFormat="false" ht="15" hidden="false" customHeight="true" outlineLevel="0" collapsed="false">
      <c r="B1" s="1" t="s">
        <v>269</v>
      </c>
    </row>
    <row r="3" customFormat="false" ht="15" hidden="false" customHeight="true" outlineLevel="0" collapsed="false">
      <c r="B3" s="2" t="s">
        <v>270</v>
      </c>
      <c r="C3" s="2"/>
      <c r="D3" s="2"/>
      <c r="E3" s="2"/>
    </row>
    <row r="4" customFormat="false" ht="14.25" hidden="false" customHeight="false" outlineLevel="0" collapsed="false">
      <c r="B4" s="11" t="s">
        <v>72</v>
      </c>
      <c r="C4" s="49" t="s">
        <v>114</v>
      </c>
      <c r="D4" s="50" t="s">
        <v>115</v>
      </c>
      <c r="E4" s="30" t="s">
        <v>271</v>
      </c>
    </row>
    <row r="5" customFormat="false" ht="14.25" hidden="false" customHeight="false" outlineLevel="0" collapsed="false">
      <c r="B5" s="5" t="s">
        <v>272</v>
      </c>
      <c r="C5" s="32" t="n">
        <f aca="false">'2. Incorporação CPC 15'!C12*2</f>
        <v>239.488</v>
      </c>
      <c r="D5" s="32" t="n">
        <f aca="false">'2. Incorporação CPC 15'!C16*2</f>
        <v>929.428226</v>
      </c>
      <c r="E5" s="32" t="n">
        <f aca="false">D5-C5</f>
        <v>689.940226</v>
      </c>
    </row>
    <row r="6" customFormat="false" ht="14.25" hidden="false" customHeight="false" outlineLevel="0" collapsed="false">
      <c r="B6" s="13" t="s">
        <v>273</v>
      </c>
      <c r="C6" s="38" t="n">
        <f aca="false">'3. Cash Out'!F24</f>
        <v>383.251054477958</v>
      </c>
      <c r="D6" s="38" t="n">
        <f aca="false">'3. Cash Out'!G24</f>
        <v>311.95189516</v>
      </c>
      <c r="E6" s="38" t="n">
        <f aca="false">C6-D6</f>
        <v>71.2991593179582</v>
      </c>
    </row>
    <row r="7" customFormat="false" ht="14.25" hidden="false" customHeight="false" outlineLevel="0" collapsed="false">
      <c r="B7" s="5" t="s">
        <v>274</v>
      </c>
      <c r="C7" s="32" t="n">
        <f aca="false">'3. Cash Out'!C27*2</f>
        <v>166.696983758701</v>
      </c>
      <c r="D7" s="32" t="n">
        <f aca="false">'3. Cash Out'!D27*2</f>
        <v>646.9338</v>
      </c>
      <c r="E7" s="32" t="n">
        <f aca="false">D7-C7</f>
        <v>480.236816241299</v>
      </c>
    </row>
    <row r="8" customFormat="false" ht="14.25" hidden="false" customHeight="false" outlineLevel="0" collapsed="false">
      <c r="B8" s="13" t="s">
        <v>275</v>
      </c>
      <c r="C8" s="5"/>
      <c r="D8" s="5"/>
      <c r="E8" s="38" t="n">
        <f aca="false">E7*Premissas!C8</f>
        <v>163.280517522042</v>
      </c>
    </row>
    <row r="9" customFormat="false" ht="14.25" hidden="false" customHeight="false" outlineLevel="0" collapsed="false">
      <c r="B9" s="39" t="s">
        <v>276</v>
      </c>
      <c r="C9" s="41"/>
      <c r="D9" s="41"/>
      <c r="E9" s="40" t="n">
        <f aca="false">E6+E8</f>
        <v>234.57967684</v>
      </c>
    </row>
    <row r="10" customFormat="false" ht="14.25" hidden="false" customHeight="false" outlineLevel="0" collapsed="false">
      <c r="B10" s="42" t="s">
        <v>277</v>
      </c>
      <c r="C10" s="5"/>
      <c r="D10" s="5"/>
      <c r="E10" s="43" t="n">
        <f aca="false">E9-'2. Incorporação CPC 15'!D15*Premissas!C8</f>
        <v>0</v>
      </c>
    </row>
    <row r="12" customFormat="false" ht="15" hidden="false" customHeight="true" outlineLevel="0" collapsed="false"/>
    <row r="13" customFormat="false" ht="30" hidden="false" customHeight="true" outlineLevel="0" collapsed="false"/>
    <row r="14" customFormat="false" ht="30" hidden="false" customHeight="true" outlineLevel="0" collapsed="false"/>
    <row r="15" customFormat="false" ht="30" hidden="false" customHeight="true" outlineLevel="0" collapsed="false"/>
    <row r="16" customFormat="false" ht="30" hidden="false" customHeight="true" outlineLevel="0" collapsed="false"/>
    <row r="17" customFormat="false" ht="30" hidden="false" customHeight="true" outlineLevel="0" collapsed="false"/>
  </sheetData>
  <mergeCells count="1"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2026-08-31T08:53:59Z</dcterms:created>
  <dc:creator>openpyxl</dc:creator>
  <dc:description/>
  <dc:language>en-US</dc:language>
  <cp:lastModifiedBy>Caue Costa Silva | Stocche Forbes Advogados</cp:lastModifiedBy>
  <dcterms:modified xsi:type="dcterms:W3CDTF">2026-09-03T12:24:51Z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