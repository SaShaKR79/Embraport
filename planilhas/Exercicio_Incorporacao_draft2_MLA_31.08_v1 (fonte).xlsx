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ccheforbes-my.sharepoint.com/personal/massad_stoccheforbes_com_br/Documents/"/>
    </mc:Choice>
  </mc:AlternateContent>
  <xr:revisionPtr revIDLastSave="0" documentId="8_{7C01D152-16B8-410F-98F5-DD97656B9D02}" xr6:coauthVersionLast="47" xr6:coauthVersionMax="47" xr10:uidLastSave="{00000000-0000-0000-0000-000000000000}"/>
  <bookViews>
    <workbookView xWindow="-110" yWindow="-110" windowWidth="19420" windowHeight="10300" xr2:uid="{C3CAFF9E-E429-4B74-983B-F4C1F9AA12B5}"/>
  </bookViews>
  <sheets>
    <sheet name="base 30 06 26com dividendos" sheetId="3" r:id="rId1"/>
    <sheet name="base 30 06 26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80" i="3" l="1"/>
  <c r="Z78" i="3"/>
  <c r="Q76" i="3"/>
  <c r="W98" i="3"/>
  <c r="O91" i="3"/>
  <c r="O92" i="3" s="1"/>
  <c r="I92" i="3"/>
  <c r="O28" i="3"/>
  <c r="O29" i="3"/>
  <c r="O88" i="3"/>
  <c r="P88" i="3" s="1"/>
  <c r="P87" i="3" s="1"/>
  <c r="H35" i="1"/>
  <c r="H34" i="1"/>
  <c r="N26" i="1"/>
  <c r="O26" i="1"/>
  <c r="P26" i="1"/>
  <c r="K70" i="3"/>
  <c r="K71" i="3" s="1"/>
  <c r="I93" i="3"/>
  <c r="K58" i="3"/>
  <c r="L66" i="3"/>
  <c r="G98" i="3"/>
  <c r="E86" i="3"/>
  <c r="E88" i="3" s="1"/>
  <c r="E89" i="3" s="1"/>
  <c r="F92" i="3" s="1"/>
  <c r="D97" i="3" s="1"/>
  <c r="D73" i="3"/>
  <c r="D72" i="3"/>
  <c r="H71" i="3"/>
  <c r="K26" i="3" s="1"/>
  <c r="L57" i="3"/>
  <c r="O55" i="3"/>
  <c r="O54" i="3" s="1"/>
  <c r="H55" i="3"/>
  <c r="H54" i="3" s="1"/>
  <c r="E55" i="3"/>
  <c r="E54" i="3" s="1"/>
  <c r="L47" i="3"/>
  <c r="L45" i="3"/>
  <c r="O43" i="3"/>
  <c r="L29" i="3"/>
  <c r="L27" i="3" s="1"/>
  <c r="O24" i="3"/>
  <c r="L24" i="3"/>
  <c r="O21" i="3"/>
  <c r="O20" i="3" s="1"/>
  <c r="L21" i="3"/>
  <c r="H20" i="3"/>
  <c r="H19" i="3" s="1"/>
  <c r="E20" i="3"/>
  <c r="E19" i="3" s="1"/>
  <c r="O11" i="3"/>
  <c r="L46" i="3" s="1"/>
  <c r="O9" i="3"/>
  <c r="O8" i="3" s="1"/>
  <c r="O7" i="3" s="1"/>
  <c r="L9" i="3"/>
  <c r="K26" i="1"/>
  <c r="J26" i="1"/>
  <c r="E51" i="1"/>
  <c r="H82" i="1" s="1"/>
  <c r="H51" i="1"/>
  <c r="E66" i="1"/>
  <c r="H66" i="1"/>
  <c r="K61" i="1"/>
  <c r="G98" i="1"/>
  <c r="H97" i="1"/>
  <c r="I97" i="1" s="1"/>
  <c r="F97" i="1"/>
  <c r="E97" i="1"/>
  <c r="D98" i="1"/>
  <c r="D97" i="1"/>
  <c r="G94" i="1"/>
  <c r="F94" i="1"/>
  <c r="F93" i="1"/>
  <c r="F92" i="1"/>
  <c r="E94" i="1"/>
  <c r="E89" i="1"/>
  <c r="E88" i="1"/>
  <c r="E86" i="1"/>
  <c r="H81" i="1"/>
  <c r="H80" i="1"/>
  <c r="H79" i="1"/>
  <c r="E67" i="1"/>
  <c r="H67" i="1"/>
  <c r="E48" i="1"/>
  <c r="E52" i="1"/>
  <c r="E75" i="1"/>
  <c r="E74" i="1"/>
  <c r="E73" i="1"/>
  <c r="E72" i="1"/>
  <c r="D73" i="1"/>
  <c r="D72" i="1"/>
  <c r="E50" i="1"/>
  <c r="J71" i="1"/>
  <c r="J70" i="1"/>
  <c r="N9" i="1"/>
  <c r="N8" i="1"/>
  <c r="K8" i="1"/>
  <c r="K7" i="1" s="1"/>
  <c r="K47" i="1"/>
  <c r="N21" i="1"/>
  <c r="N28" i="1"/>
  <c r="N29" i="1"/>
  <c r="N27" i="1"/>
  <c r="N20" i="1"/>
  <c r="N24" i="1"/>
  <c r="K50" i="1" s="1"/>
  <c r="N11" i="1"/>
  <c r="K46" i="1" s="1"/>
  <c r="K29" i="1"/>
  <c r="K24" i="1"/>
  <c r="K21" i="1"/>
  <c r="K9" i="1"/>
  <c r="H71" i="1"/>
  <c r="K63" i="1"/>
  <c r="K57" i="1"/>
  <c r="K45" i="1"/>
  <c r="N62" i="1"/>
  <c r="N55" i="1"/>
  <c r="N54" i="1" s="1"/>
  <c r="H55" i="1"/>
  <c r="H54" i="1" s="1"/>
  <c r="E55" i="1"/>
  <c r="E54" i="1"/>
  <c r="N43" i="1"/>
  <c r="H20" i="1"/>
  <c r="H19" i="1" s="1"/>
  <c r="E20" i="1"/>
  <c r="E19" i="1" s="1"/>
  <c r="K20" i="1"/>
  <c r="K19" i="1" s="1"/>
  <c r="O27" i="3" l="1"/>
  <c r="L63" i="3"/>
  <c r="H92" i="3"/>
  <c r="I94" i="3"/>
  <c r="E50" i="3"/>
  <c r="H82" i="3"/>
  <c r="O19" i="3"/>
  <c r="L50" i="3"/>
  <c r="L59" i="3"/>
  <c r="L44" i="3"/>
  <c r="L43" i="3" s="1"/>
  <c r="L42" i="3" s="1"/>
  <c r="L8" i="3"/>
  <c r="L7" i="3" s="1"/>
  <c r="L64" i="3"/>
  <c r="L62" i="3" s="1"/>
  <c r="L20" i="3"/>
  <c r="L19" i="3" s="1"/>
  <c r="L18" i="3" s="1"/>
  <c r="L56" i="3"/>
  <c r="L55" i="3" s="1"/>
  <c r="F93" i="3"/>
  <c r="H83" i="1"/>
  <c r="H84" i="1" s="1"/>
  <c r="H52" i="1"/>
  <c r="E98" i="1"/>
  <c r="F98" i="1" s="1"/>
  <c r="H98" i="1" s="1"/>
  <c r="I98" i="1" s="1"/>
  <c r="H86" i="1"/>
  <c r="K56" i="1"/>
  <c r="K55" i="1" s="1"/>
  <c r="K54" i="1" s="1"/>
  <c r="K59" i="1"/>
  <c r="N19" i="1"/>
  <c r="N18" i="1" s="1"/>
  <c r="K44" i="1"/>
  <c r="K43" i="1" s="1"/>
  <c r="K42" i="1" s="1"/>
  <c r="N7" i="1"/>
  <c r="K64" i="1"/>
  <c r="K62" i="1" s="1"/>
  <c r="K27" i="1"/>
  <c r="H65" i="1"/>
  <c r="E65" i="1"/>
  <c r="H50" i="1"/>
  <c r="N53" i="1"/>
  <c r="E79" i="3" l="1"/>
  <c r="F79" i="3" s="1"/>
  <c r="L69" i="3"/>
  <c r="H34" i="3"/>
  <c r="O79" i="3" s="1"/>
  <c r="E14" i="3"/>
  <c r="E49" i="3" s="1"/>
  <c r="E97" i="3" s="1"/>
  <c r="F97" i="3" s="1"/>
  <c r="L41" i="3"/>
  <c r="L54" i="3"/>
  <c r="L53" i="3" s="1"/>
  <c r="O62" i="3"/>
  <c r="O53" i="3" s="1"/>
  <c r="P33" i="3"/>
  <c r="H35" i="3"/>
  <c r="O81" i="3" s="1"/>
  <c r="E73" i="3"/>
  <c r="H50" i="3"/>
  <c r="E65" i="3"/>
  <c r="H65" i="3"/>
  <c r="O18" i="3"/>
  <c r="L26" i="3"/>
  <c r="O26" i="3" s="1"/>
  <c r="H14" i="3"/>
  <c r="H81" i="3" s="1"/>
  <c r="L61" i="3"/>
  <c r="K92" i="3"/>
  <c r="D98" i="3"/>
  <c r="H93" i="3"/>
  <c r="F94" i="3"/>
  <c r="K69" i="1"/>
  <c r="E79" i="1"/>
  <c r="F79" i="1" s="1"/>
  <c r="K41" i="1"/>
  <c r="H14" i="1"/>
  <c r="E14" i="1"/>
  <c r="K18" i="1"/>
  <c r="K53" i="1"/>
  <c r="E49" i="1"/>
  <c r="H97" i="3" l="1"/>
  <c r="I97" i="3" s="1"/>
  <c r="J97" i="3" s="1"/>
  <c r="K97" i="3" s="1"/>
  <c r="H36" i="3"/>
  <c r="I34" i="3" s="1"/>
  <c r="P79" i="3"/>
  <c r="H100" i="3"/>
  <c r="I100" i="3" s="1"/>
  <c r="O80" i="3"/>
  <c r="L70" i="3"/>
  <c r="L71" i="3"/>
  <c r="L74" i="3" s="1"/>
  <c r="B50" i="3"/>
  <c r="H13" i="3"/>
  <c r="H7" i="3" s="1"/>
  <c r="H28" i="3"/>
  <c r="H27" i="3" s="1"/>
  <c r="E28" i="3"/>
  <c r="H80" i="3"/>
  <c r="E13" i="3"/>
  <c r="E7" i="3" s="1"/>
  <c r="K93" i="3"/>
  <c r="K94" i="3" s="1"/>
  <c r="H94" i="3"/>
  <c r="K70" i="1"/>
  <c r="K71" i="1"/>
  <c r="K74" i="1" s="1"/>
  <c r="H13" i="1"/>
  <c r="H7" i="1" s="1"/>
  <c r="H28" i="1"/>
  <c r="H27" i="1" s="1"/>
  <c r="E13" i="1"/>
  <c r="E7" i="1" s="1"/>
  <c r="E28" i="1"/>
  <c r="E27" i="1" s="1"/>
  <c r="E18" i="1" s="1"/>
  <c r="E42" i="1"/>
  <c r="E63" i="1"/>
  <c r="H36" i="1"/>
  <c r="I34" i="1" s="1"/>
  <c r="P83" i="3" l="1"/>
  <c r="O97" i="3"/>
  <c r="Q93" i="3" s="1"/>
  <c r="P97" i="3"/>
  <c r="O83" i="3"/>
  <c r="E82" i="3"/>
  <c r="F82" i="3" s="1"/>
  <c r="E94" i="3" s="1"/>
  <c r="G94" i="3" s="1"/>
  <c r="L76" i="3"/>
  <c r="Y92" i="3"/>
  <c r="W96" i="3"/>
  <c r="Y80" i="3"/>
  <c r="Y86" i="3"/>
  <c r="I36" i="3"/>
  <c r="I35" i="3"/>
  <c r="H49" i="3"/>
  <c r="H18" i="3"/>
  <c r="E27" i="3"/>
  <c r="E72" i="3"/>
  <c r="E63" i="3"/>
  <c r="E62" i="1"/>
  <c r="K76" i="1"/>
  <c r="E82" i="1"/>
  <c r="F82" i="1" s="1"/>
  <c r="H18" i="1"/>
  <c r="H49" i="1"/>
  <c r="I35" i="1"/>
  <c r="I36" i="1"/>
  <c r="P99" i="3" l="1"/>
  <c r="P100" i="3" s="1"/>
  <c r="Q85" i="3"/>
  <c r="R85" i="3"/>
  <c r="X97" i="3"/>
  <c r="X98" i="3" s="1"/>
  <c r="O99" i="3"/>
  <c r="W97" i="3" s="1"/>
  <c r="E18" i="3"/>
  <c r="J69" i="3"/>
  <c r="E98" i="3"/>
  <c r="H74" i="3"/>
  <c r="H75" i="3" s="1"/>
  <c r="H66" i="3" s="1"/>
  <c r="H63" i="3"/>
  <c r="E74" i="3"/>
  <c r="E75" i="3" s="1"/>
  <c r="E66" i="3" s="1"/>
  <c r="E69" i="1"/>
  <c r="E80" i="1"/>
  <c r="F80" i="1" s="1"/>
  <c r="E92" i="1" s="1"/>
  <c r="G92" i="1" s="1"/>
  <c r="E53" i="1"/>
  <c r="H74" i="1"/>
  <c r="H75" i="1" s="1"/>
  <c r="H48" i="1" s="1"/>
  <c r="H42" i="1" s="1"/>
  <c r="H63" i="1"/>
  <c r="W99" i="3" l="1"/>
  <c r="W100" i="3" s="1"/>
  <c r="W101" i="3"/>
  <c r="AA78" i="3" s="1"/>
  <c r="AA79" i="3" s="1"/>
  <c r="I114" i="3"/>
  <c r="H51" i="3"/>
  <c r="H67" i="3"/>
  <c r="E62" i="3"/>
  <c r="E67" i="3"/>
  <c r="E51" i="3"/>
  <c r="H62" i="3"/>
  <c r="H69" i="3" s="1"/>
  <c r="H62" i="1"/>
  <c r="H87" i="1" s="1"/>
  <c r="H88" i="1" s="1"/>
  <c r="W102" i="3" l="1"/>
  <c r="X99" i="3"/>
  <c r="X100" i="3" s="1"/>
  <c r="J100" i="3"/>
  <c r="I116" i="3"/>
  <c r="I118" i="3" s="1"/>
  <c r="H84" i="3"/>
  <c r="H52" i="3"/>
  <c r="H48" i="3"/>
  <c r="H42" i="3" s="1"/>
  <c r="E80" i="3"/>
  <c r="E69" i="3"/>
  <c r="H70" i="3" s="1"/>
  <c r="J70" i="3" s="1"/>
  <c r="J71" i="3" s="1"/>
  <c r="E53" i="3"/>
  <c r="E52" i="3"/>
  <c r="H83" i="3"/>
  <c r="E48" i="3"/>
  <c r="H88" i="3"/>
  <c r="H53" i="3"/>
  <c r="O100" i="3" s="1"/>
  <c r="W79" i="3" s="1"/>
  <c r="AA80" i="3" s="1"/>
  <c r="E81" i="3"/>
  <c r="E81" i="1"/>
  <c r="F81" i="1" s="1"/>
  <c r="E93" i="1" s="1"/>
  <c r="G93" i="1" s="1"/>
  <c r="H53" i="1"/>
  <c r="H69" i="1"/>
  <c r="H70" i="1" s="1"/>
  <c r="Z79" i="3" l="1"/>
  <c r="W85" i="3"/>
  <c r="Y79" i="3"/>
  <c r="Y78" i="3" s="1"/>
  <c r="I48" i="3"/>
  <c r="F80" i="3"/>
  <c r="I80" i="3"/>
  <c r="F81" i="3"/>
  <c r="E93" i="3" s="1"/>
  <c r="G93" i="3" s="1"/>
  <c r="I81" i="3"/>
  <c r="H114" i="3"/>
  <c r="K100" i="3"/>
  <c r="I119" i="3"/>
  <c r="I121" i="3" s="1"/>
  <c r="I123" i="3" s="1"/>
  <c r="I127" i="3" s="1"/>
  <c r="I129" i="3" s="1"/>
  <c r="I131" i="3" s="1"/>
  <c r="I132" i="3" s="1"/>
  <c r="I134" i="3" s="1"/>
  <c r="I136" i="3" s="1"/>
  <c r="H87" i="3"/>
  <c r="F98" i="3"/>
  <c r="E42" i="3"/>
  <c r="H85" i="3"/>
  <c r="H98" i="3" l="1"/>
  <c r="I98" i="3" s="1"/>
  <c r="J98" i="3" s="1"/>
  <c r="F100" i="3"/>
  <c r="Q79" i="3" s="1"/>
  <c r="Y85" i="3"/>
  <c r="Y84" i="3" s="1"/>
  <c r="W91" i="3"/>
  <c r="E92" i="3"/>
  <c r="G92" i="3" s="1"/>
  <c r="H117" i="3"/>
  <c r="H118" i="3" s="1"/>
  <c r="K98" i="3" l="1"/>
  <c r="H101" i="3"/>
  <c r="I101" i="3" s="1"/>
  <c r="J101" i="3" s="1"/>
  <c r="K101" i="3" s="1"/>
  <c r="R79" i="3"/>
  <c r="X92" i="3"/>
  <c r="X90" i="3"/>
  <c r="Y91" i="3"/>
  <c r="Y90" i="3" s="1"/>
  <c r="X91" i="3"/>
  <c r="Q81" i="3"/>
  <c r="H120" i="3"/>
  <c r="H121" i="3" s="1"/>
  <c r="H123" i="3" s="1"/>
  <c r="H127" i="3" s="1"/>
  <c r="R81" i="3" l="1"/>
  <c r="S85" i="3"/>
  <c r="T85" i="3" s="1"/>
  <c r="Q80" i="3" s="1"/>
  <c r="Q83" i="3" s="1"/>
  <c r="H130" i="3"/>
  <c r="H131" i="3" s="1"/>
  <c r="H133" i="3" s="1"/>
  <c r="H134" i="3" s="1"/>
  <c r="H136" i="3" s="1"/>
  <c r="R80" i="3" l="1"/>
  <c r="X86" i="3"/>
  <c r="X84" i="3"/>
  <c r="X85" i="3"/>
  <c r="R83" i="3"/>
  <c r="X80" i="3"/>
  <c r="X78" i="3"/>
  <c r="X7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jose.molina</author>
  </authors>
  <commentList>
    <comment ref="O9" authorId="0" shapeId="0" xr:uid="{79A8656B-EF84-4BB4-B3CA-FC9302BE0E99}">
      <text>
        <r>
          <rPr>
            <b/>
            <sz val="9"/>
            <color indexed="81"/>
            <rFont val="Segoe UI"/>
            <family val="2"/>
          </rPr>
          <t>jose.molina:</t>
        </r>
        <r>
          <rPr>
            <sz val="9"/>
            <color indexed="81"/>
            <rFont val="Segoe UI"/>
            <family val="2"/>
          </rPr>
          <t xml:space="preserve">
adicianado : 380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jose.molina</author>
  </authors>
  <commentList>
    <comment ref="N9" authorId="0" shapeId="0" xr:uid="{849E627D-5CE4-4140-91ED-83EE1DDED158}">
      <text>
        <r>
          <rPr>
            <b/>
            <sz val="9"/>
            <color indexed="81"/>
            <rFont val="Segoe UI"/>
            <family val="2"/>
          </rPr>
          <t>jose.molina:</t>
        </r>
        <r>
          <rPr>
            <sz val="9"/>
            <color indexed="81"/>
            <rFont val="Segoe UI"/>
            <family val="2"/>
          </rPr>
          <t xml:space="preserve">
adicianado : 380
</t>
        </r>
      </text>
    </comment>
  </commentList>
</comments>
</file>

<file path=xl/sharedStrings.xml><?xml version="1.0" encoding="utf-8"?>
<sst xmlns="http://schemas.openxmlformats.org/spreadsheetml/2006/main" count="457" uniqueCount="110">
  <si>
    <t>Exercício Incorporação</t>
  </si>
  <si>
    <t>CNP</t>
  </si>
  <si>
    <t>SAVIAN</t>
  </si>
  <si>
    <t>Base 30 06 26</t>
  </si>
  <si>
    <t>ATIVOS</t>
  </si>
  <si>
    <t>Outros</t>
  </si>
  <si>
    <t>Permanente</t>
  </si>
  <si>
    <t>Inv. Embracon</t>
  </si>
  <si>
    <t>Sub total</t>
  </si>
  <si>
    <t>Compensação</t>
  </si>
  <si>
    <t>PASSIVOS</t>
  </si>
  <si>
    <t>Circulante</t>
  </si>
  <si>
    <t>CPC 47</t>
  </si>
  <si>
    <t>P. LÍQUIDO</t>
  </si>
  <si>
    <t>Incorporação</t>
  </si>
  <si>
    <t>Capital</t>
  </si>
  <si>
    <t>Reservas</t>
  </si>
  <si>
    <t>PASSIVOS + P.LÍQUIDO</t>
  </si>
  <si>
    <t>JVFJ</t>
  </si>
  <si>
    <t>EMBRACON</t>
  </si>
  <si>
    <t>SITUAÇÃO ANTES</t>
  </si>
  <si>
    <t>SITUAÇÃO APÓS</t>
  </si>
  <si>
    <t>Parcela Incorporada</t>
  </si>
  <si>
    <t>efeito</t>
  </si>
  <si>
    <t>Incorporaçao base</t>
  </si>
  <si>
    <t>Incorporação base</t>
  </si>
  <si>
    <t>Diluição</t>
  </si>
  <si>
    <t>Composição das Empresas</t>
  </si>
  <si>
    <t>Embracon</t>
  </si>
  <si>
    <t>Total</t>
  </si>
  <si>
    <t>Circulante + LP</t>
  </si>
  <si>
    <t xml:space="preserve"> base</t>
  </si>
  <si>
    <t>P.Líquido Já incorporado</t>
  </si>
  <si>
    <t>Savian</t>
  </si>
  <si>
    <t>CNP Holding</t>
  </si>
  <si>
    <t>S + J</t>
  </si>
  <si>
    <t>SENDO:</t>
  </si>
  <si>
    <t>diluiçao individual</t>
  </si>
  <si>
    <t>diluição</t>
  </si>
  <si>
    <t>Net</t>
  </si>
  <si>
    <t>Invest antes</t>
  </si>
  <si>
    <t>P.Liquido CNP</t>
  </si>
  <si>
    <t>Investimento final</t>
  </si>
  <si>
    <t xml:space="preserve">Cada um </t>
  </si>
  <si>
    <t>Cash Out</t>
  </si>
  <si>
    <t>após incorp</t>
  </si>
  <si>
    <t>alienação</t>
  </si>
  <si>
    <t>posição final</t>
  </si>
  <si>
    <t>custo</t>
  </si>
  <si>
    <t>l base</t>
  </si>
  <si>
    <t>desagio</t>
  </si>
  <si>
    <t>Qd pagar!!!</t>
  </si>
  <si>
    <t>cx</t>
  </si>
  <si>
    <t>?</t>
  </si>
  <si>
    <t>dividendos</t>
  </si>
  <si>
    <t>divendos</t>
  </si>
  <si>
    <t>cash out</t>
  </si>
  <si>
    <t>incorp</t>
  </si>
  <si>
    <t>total</t>
  </si>
  <si>
    <t>base para incorp</t>
  </si>
  <si>
    <t>Somatória</t>
  </si>
  <si>
    <t>Inv. Anterior</t>
  </si>
  <si>
    <t>P.Incorp</t>
  </si>
  <si>
    <t>P. Atualizada</t>
  </si>
  <si>
    <t>SITUAÇÃO APÓS INCORPORAÇAO</t>
  </si>
  <si>
    <t>P.Socit antes</t>
  </si>
  <si>
    <t>Líquido</t>
  </si>
  <si>
    <t>pf</t>
  </si>
  <si>
    <t>pj</t>
  </si>
  <si>
    <t>cdi</t>
  </si>
  <si>
    <t>ir</t>
  </si>
  <si>
    <t>ano</t>
  </si>
  <si>
    <t>Proporciionalidade P.Líquidos "nominais"</t>
  </si>
  <si>
    <t>ANTES</t>
  </si>
  <si>
    <t>GANHO %</t>
  </si>
  <si>
    <t>TOTAL</t>
  </si>
  <si>
    <t>CONTÁBIL</t>
  </si>
  <si>
    <t>MV</t>
  </si>
  <si>
    <t>Inv Embracon</t>
  </si>
  <si>
    <t>Inv CNP (PL)</t>
  </si>
  <si>
    <t>Inv CNP (AVJ)</t>
  </si>
  <si>
    <t>NOVO EMBRACON</t>
  </si>
  <si>
    <t>DEPOIS</t>
  </si>
  <si>
    <t>Δ</t>
  </si>
  <si>
    <t>&lt;-- REFLEXO PL</t>
  </si>
  <si>
    <t>&lt;-- PERDA DILUIÇÃO</t>
  </si>
  <si>
    <t>&lt;-- REFLEXO AVJ</t>
  </si>
  <si>
    <t>MLA - SEGREGAÇÃO RISCO CUSTO DO INVESTIMENTO</t>
  </si>
  <si>
    <t>SEGREGAÇÃO DELOITTE - PROPORÇÃO</t>
  </si>
  <si>
    <t>VJ PL CNP</t>
  </si>
  <si>
    <t>VJ Embracon</t>
  </si>
  <si>
    <t>VJ JO</t>
  </si>
  <si>
    <t>VJ CNP</t>
  </si>
  <si>
    <t>MLA - SEGREGAÇÃO AVJ REFLEXO HOLDINGS DA EMBRACON</t>
  </si>
  <si>
    <t>Inv JO (contábil)</t>
  </si>
  <si>
    <t>AVJ JO</t>
  </si>
  <si>
    <t>CPC 15</t>
  </si>
  <si>
    <t>CPC 19</t>
  </si>
  <si>
    <t>Preço</t>
  </si>
  <si>
    <t>VENDA PJ</t>
  </si>
  <si>
    <t>Baixa</t>
  </si>
  <si>
    <t>Entra</t>
  </si>
  <si>
    <t>Resultado</t>
  </si>
  <si>
    <t>AVJ</t>
  </si>
  <si>
    <t>IR/CS GK</t>
  </si>
  <si>
    <t>gk</t>
  </si>
  <si>
    <t>ir/cs gk</t>
  </si>
  <si>
    <t>VENDA PF</t>
  </si>
  <si>
    <t>VENDA PJ - RISCO 2</t>
  </si>
  <si>
    <t>VENDA PJ - RISCO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</si>
</sst>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  <numFmt numFmtId="166" formatCode="_-* #,##0.0000_-;\-* #,##0.0000_-;_-* &quot;-&quot;??_-;_-@_-"/>
    <numFmt numFmtId="167" formatCode="0.0%"/>
    <numFmt numFmtId="169" formatCode="_-* #,##0_-;\-* #,##0_-;_-* &quot;-&quot;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9"/>
      <color theme="1" tint="0.3499862666707357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43" fontId="0" fillId="0" borderId="0" xfId="1" applyFont="1"/>
    <xf numFmtId="164" fontId="2" fillId="0" borderId="0" xfId="1" applyNumberFormat="1" applyFont="1"/>
    <xf numFmtId="164" fontId="0" fillId="0" borderId="0" xfId="1" applyNumberFormat="1" applyFont="1"/>
    <xf numFmtId="164" fontId="0" fillId="0" borderId="0" xfId="0" applyNumberFormat="1"/>
    <xf numFmtId="164" fontId="2" fillId="0" borderId="0" xfId="0" applyNumberFormat="1" applyFont="1"/>
    <xf numFmtId="164" fontId="2" fillId="2" borderId="0" xfId="1" applyNumberFormat="1" applyFont="1" applyFill="1"/>
    <xf numFmtId="0" fontId="0" fillId="0" borderId="2" xfId="0" applyBorder="1"/>
    <xf numFmtId="0" fontId="4" fillId="0" borderId="3" xfId="0" applyFont="1" applyBorder="1"/>
    <xf numFmtId="0" fontId="4" fillId="0" borderId="4" xfId="0" applyFont="1" applyBorder="1"/>
    <xf numFmtId="0" fontId="0" fillId="0" borderId="5" xfId="0" applyBorder="1"/>
    <xf numFmtId="0" fontId="4" fillId="0" borderId="1" xfId="0" applyFont="1" applyBorder="1"/>
    <xf numFmtId="0" fontId="4" fillId="0" borderId="6" xfId="0" applyFont="1" applyBorder="1"/>
    <xf numFmtId="9" fontId="0" fillId="0" borderId="0" xfId="2" applyFont="1"/>
    <xf numFmtId="10" fontId="0" fillId="0" borderId="0" xfId="2" applyNumberFormat="1" applyFont="1"/>
    <xf numFmtId="10" fontId="0" fillId="0" borderId="0" xfId="0" applyNumberFormat="1"/>
    <xf numFmtId="43" fontId="2" fillId="0" borderId="0" xfId="0" applyNumberFormat="1" applyFont="1"/>
    <xf numFmtId="164" fontId="0" fillId="0" borderId="7" xfId="0" applyNumberFormat="1" applyBorder="1"/>
    <xf numFmtId="10" fontId="0" fillId="0" borderId="7" xfId="2" applyNumberFormat="1" applyFont="1" applyBorder="1"/>
    <xf numFmtId="165" fontId="2" fillId="0" borderId="0" xfId="0" applyNumberFormat="1" applyFont="1"/>
    <xf numFmtId="165" fontId="0" fillId="2" borderId="0" xfId="0" applyNumberFormat="1" applyFill="1"/>
    <xf numFmtId="0" fontId="5" fillId="0" borderId="0" xfId="0" applyFont="1"/>
    <xf numFmtId="164" fontId="5" fillId="0" borderId="0" xfId="0" applyNumberFormat="1" applyFont="1"/>
    <xf numFmtId="43" fontId="0" fillId="0" borderId="0" xfId="0" applyNumberFormat="1"/>
    <xf numFmtId="164" fontId="0" fillId="0" borderId="8" xfId="2" applyNumberFormat="1" applyFont="1" applyBorder="1"/>
    <xf numFmtId="10" fontId="0" fillId="0" borderId="0" xfId="2" applyNumberFormat="1" applyFont="1" applyBorder="1"/>
    <xf numFmtId="10" fontId="0" fillId="0" borderId="8" xfId="2" applyNumberFormat="1" applyFont="1" applyBorder="1"/>
    <xf numFmtId="164" fontId="2" fillId="3" borderId="0" xfId="1" applyNumberFormat="1" applyFont="1" applyFill="1"/>
    <xf numFmtId="164" fontId="0" fillId="3" borderId="0" xfId="0" applyNumberFormat="1" applyFill="1"/>
    <xf numFmtId="164" fontId="2" fillId="4" borderId="0" xfId="1" applyNumberFormat="1" applyFont="1" applyFill="1"/>
    <xf numFmtId="164" fontId="0" fillId="4" borderId="0" xfId="0" applyNumberFormat="1" applyFill="1"/>
    <xf numFmtId="164" fontId="0" fillId="4" borderId="8" xfId="0" applyNumberFormat="1" applyFill="1" applyBorder="1"/>
    <xf numFmtId="43" fontId="0" fillId="5" borderId="0" xfId="0" applyNumberFormat="1" applyFill="1"/>
    <xf numFmtId="0" fontId="0" fillId="5" borderId="0" xfId="0" applyFill="1"/>
    <xf numFmtId="0" fontId="8" fillId="0" borderId="0" xfId="0" applyFont="1" applyAlignment="1">
      <alignment horizontal="right"/>
    </xf>
    <xf numFmtId="165" fontId="9" fillId="0" borderId="0" xfId="0" applyNumberFormat="1" applyFont="1"/>
    <xf numFmtId="0" fontId="4" fillId="0" borderId="0" xfId="0" applyFont="1" applyAlignment="1">
      <alignment horizontal="right"/>
    </xf>
    <xf numFmtId="43" fontId="0" fillId="0" borderId="8" xfId="1" applyFont="1" applyBorder="1"/>
    <xf numFmtId="9" fontId="0" fillId="0" borderId="8" xfId="2" applyFont="1" applyBorder="1"/>
    <xf numFmtId="0" fontId="0" fillId="6" borderId="0" xfId="0" applyFill="1"/>
    <xf numFmtId="10" fontId="0" fillId="0" borderId="0" xfId="0" applyNumberFormat="1" applyAlignment="1">
      <alignment horizontal="center"/>
    </xf>
    <xf numFmtId="10" fontId="0" fillId="7" borderId="0" xfId="0" applyNumberFormat="1" applyFill="1"/>
    <xf numFmtId="0" fontId="2" fillId="3" borderId="0" xfId="0" applyFont="1" applyFill="1"/>
    <xf numFmtId="164" fontId="0" fillId="2" borderId="4" xfId="0" applyNumberFormat="1" applyFill="1" applyBorder="1"/>
    <xf numFmtId="0" fontId="0" fillId="5" borderId="6" xfId="0" applyFill="1" applyBorder="1"/>
    <xf numFmtId="166" fontId="0" fillId="0" borderId="0" xfId="0" applyNumberFormat="1"/>
    <xf numFmtId="0" fontId="5" fillId="0" borderId="9" xfId="0" applyFont="1" applyBorder="1" applyAlignment="1">
      <alignment horizontal="right"/>
    </xf>
    <xf numFmtId="164" fontId="5" fillId="0" borderId="10" xfId="0" applyNumberFormat="1" applyFont="1" applyBorder="1"/>
    <xf numFmtId="0" fontId="0" fillId="0" borderId="0" xfId="0" applyAlignment="1">
      <alignment horizontal="left"/>
    </xf>
    <xf numFmtId="164" fontId="2" fillId="3" borderId="0" xfId="0" applyNumberFormat="1" applyFont="1" applyFill="1"/>
    <xf numFmtId="10" fontId="0" fillId="0" borderId="0" xfId="0" applyNumberFormat="1" applyAlignment="1">
      <alignment horizontal="left"/>
    </xf>
    <xf numFmtId="10" fontId="0" fillId="0" borderId="7" xfId="0" applyNumberFormat="1" applyBorder="1"/>
    <xf numFmtId="10" fontId="0" fillId="0" borderId="7" xfId="0" applyNumberFormat="1" applyBorder="1" applyAlignment="1">
      <alignment horizontal="left"/>
    </xf>
    <xf numFmtId="164" fontId="0" fillId="3" borderId="8" xfId="2" applyNumberFormat="1" applyFont="1" applyFill="1" applyBorder="1"/>
    <xf numFmtId="10" fontId="0" fillId="0" borderId="0" xfId="2" applyNumberFormat="1" applyFont="1" applyAlignment="1">
      <alignment horizontal="left"/>
    </xf>
    <xf numFmtId="43" fontId="0" fillId="0" borderId="11" xfId="0" applyNumberFormat="1" applyBorder="1"/>
    <xf numFmtId="43" fontId="0" fillId="0" borderId="8" xfId="0" applyNumberFormat="1" applyBorder="1"/>
    <xf numFmtId="0" fontId="0" fillId="0" borderId="8" xfId="0" applyBorder="1"/>
    <xf numFmtId="0" fontId="10" fillId="8" borderId="0" xfId="0" applyFont="1" applyFill="1"/>
    <xf numFmtId="0" fontId="11" fillId="8" borderId="0" xfId="0" applyFont="1" applyFill="1"/>
    <xf numFmtId="43" fontId="0" fillId="3" borderId="0" xfId="0" applyNumberFormat="1" applyFill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0" fillId="3" borderId="0" xfId="1" applyNumberFormat="1" applyFont="1" applyFill="1"/>
    <xf numFmtId="10" fontId="5" fillId="0" borderId="0" xfId="0" applyNumberFormat="1" applyFont="1"/>
    <xf numFmtId="0" fontId="0" fillId="0" borderId="12" xfId="0" applyBorder="1"/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17" xfId="0" applyFont="1" applyBorder="1"/>
    <xf numFmtId="164" fontId="2" fillId="0" borderId="18" xfId="0" applyNumberFormat="1" applyFont="1" applyBorder="1"/>
    <xf numFmtId="0" fontId="13" fillId="0" borderId="0" xfId="0" applyFont="1"/>
    <xf numFmtId="0" fontId="12" fillId="0" borderId="2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" fillId="3" borderId="0" xfId="0" applyFont="1" applyFill="1" applyAlignment="1">
      <alignment horizontal="center"/>
    </xf>
    <xf numFmtId="9" fontId="0" fillId="3" borderId="0" xfId="2" applyFont="1" applyFill="1"/>
    <xf numFmtId="164" fontId="0" fillId="2" borderId="0" xfId="0" applyNumberFormat="1" applyFill="1"/>
    <xf numFmtId="0" fontId="2" fillId="0" borderId="14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7" xfId="0" applyBorder="1"/>
    <xf numFmtId="167" fontId="0" fillId="3" borderId="19" xfId="2" applyNumberFormat="1" applyFont="1" applyFill="1" applyBorder="1"/>
    <xf numFmtId="167" fontId="0" fillId="3" borderId="20" xfId="0" applyNumberFormat="1" applyFill="1" applyBorder="1"/>
    <xf numFmtId="0" fontId="2" fillId="0" borderId="12" xfId="0" applyFont="1" applyBorder="1"/>
    <xf numFmtId="0" fontId="0" fillId="0" borderId="0" xfId="0" quotePrefix="1"/>
    <xf numFmtId="0" fontId="0" fillId="0" borderId="19" xfId="0" applyBorder="1"/>
    <xf numFmtId="0" fontId="0" fillId="0" borderId="20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2" xfId="0" applyFon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69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left"/>
    </xf>
    <xf numFmtId="164" fontId="2" fillId="0" borderId="28" xfId="0" applyNumberFormat="1" applyFont="1" applyBorder="1"/>
    <xf numFmtId="0" fontId="2" fillId="0" borderId="8" xfId="0" applyFont="1" applyBorder="1"/>
    <xf numFmtId="10" fontId="0" fillId="3" borderId="0" xfId="0" applyNumberFormat="1" applyFill="1"/>
    <xf numFmtId="43" fontId="5" fillId="0" borderId="0" xfId="0" applyNumberFormat="1" applyFont="1"/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0" fontId="2" fillId="0" borderId="25" xfId="0" applyFont="1" applyBorder="1" applyAlignment="1">
      <alignment horizontal="right"/>
    </xf>
    <xf numFmtId="164" fontId="0" fillId="0" borderId="24" xfId="0" applyNumberFormat="1" applyBorder="1"/>
    <xf numFmtId="164" fontId="0" fillId="0" borderId="25" xfId="0" applyNumberFormat="1" applyFill="1" applyBorder="1"/>
    <xf numFmtId="164" fontId="0" fillId="0" borderId="25" xfId="0" applyNumberFormat="1" applyBorder="1"/>
    <xf numFmtId="164" fontId="0" fillId="0" borderId="26" xfId="0" applyNumberFormat="1" applyBorder="1"/>
    <xf numFmtId="164" fontId="0" fillId="0" borderId="27" xfId="0" applyNumberFormat="1" applyBorder="1"/>
    <xf numFmtId="0" fontId="2" fillId="0" borderId="31" xfId="0" applyFont="1" applyBorder="1" applyAlignment="1">
      <alignment horizontal="right"/>
    </xf>
    <xf numFmtId="164" fontId="0" fillId="0" borderId="32" xfId="0" applyNumberFormat="1" applyBorder="1"/>
    <xf numFmtId="164" fontId="0" fillId="0" borderId="33" xfId="0" applyNumberForma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2495-3EA3-4586-97A2-3FF50BEE1C52}">
  <sheetPr>
    <pageSetUpPr fitToPage="1"/>
  </sheetPr>
  <dimension ref="A1:AA136"/>
  <sheetViews>
    <sheetView showGridLines="0" tabSelected="1" topLeftCell="L79" zoomScale="79" zoomScaleNormal="104" workbookViewId="0">
      <selection activeCell="T90" sqref="T90"/>
    </sheetView>
  </sheetViews>
  <sheetFormatPr defaultRowHeight="15" x14ac:dyDescent="0.25"/>
  <cols>
    <col min="3" max="3" width="2.5703125" customWidth="1"/>
    <col min="4" max="4" width="22.7109375" customWidth="1"/>
    <col min="5" max="5" width="13.85546875" customWidth="1"/>
    <col min="7" max="7" width="25.85546875" customWidth="1"/>
    <col min="8" max="8" width="14.42578125" customWidth="1"/>
    <col min="9" max="10" width="11.28515625" customWidth="1"/>
    <col min="11" max="11" width="33.28515625" customWidth="1"/>
    <col min="12" max="12" width="12.28515625" customWidth="1"/>
    <col min="13" max="13" width="2.5703125" customWidth="1"/>
    <col min="14" max="14" width="33.28515625" customWidth="1"/>
    <col min="15" max="15" width="16" customWidth="1"/>
    <col min="16" max="16" width="12" style="26" customWidth="1"/>
    <col min="17" max="17" width="11.42578125" customWidth="1"/>
    <col min="18" max="18" width="10.5703125" customWidth="1"/>
    <col min="19" max="19" width="10.28515625" customWidth="1"/>
    <col min="23" max="23" width="15.140625" customWidth="1"/>
    <col min="24" max="24" width="15.28515625" customWidth="1"/>
    <col min="25" max="25" width="15.85546875" customWidth="1"/>
    <col min="26" max="26" width="14" customWidth="1"/>
    <col min="27" max="27" width="14.28515625" customWidth="1"/>
    <col min="28" max="28" width="14.140625" customWidth="1"/>
  </cols>
  <sheetData>
    <row r="1" spans="1:16" x14ac:dyDescent="0.25">
      <c r="A1" s="4" t="s">
        <v>0</v>
      </c>
    </row>
    <row r="2" spans="1:16" x14ac:dyDescent="0.25">
      <c r="A2" t="s">
        <v>1</v>
      </c>
    </row>
    <row r="3" spans="1:16" x14ac:dyDescent="0.25">
      <c r="A3" t="s">
        <v>3</v>
      </c>
    </row>
    <row r="4" spans="1:16" ht="15.75" thickBot="1" x14ac:dyDescent="0.3">
      <c r="D4" s="94" t="s">
        <v>20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</row>
    <row r="5" spans="1:16" ht="18.75" x14ac:dyDescent="0.3">
      <c r="D5" s="5" t="s">
        <v>2</v>
      </c>
      <c r="G5" s="5" t="s">
        <v>18</v>
      </c>
      <c r="K5" s="5" t="s">
        <v>19</v>
      </c>
      <c r="N5" s="5" t="s">
        <v>1</v>
      </c>
    </row>
    <row r="7" spans="1:16" x14ac:dyDescent="0.25">
      <c r="D7" s="2" t="s">
        <v>4</v>
      </c>
      <c r="E7" s="24">
        <f>E8+E13</f>
        <v>119.744</v>
      </c>
      <c r="G7" s="2" t="s">
        <v>4</v>
      </c>
      <c r="H7" s="24">
        <f>H8+H13</f>
        <v>119.744</v>
      </c>
      <c r="K7" s="2" t="s">
        <v>4</v>
      </c>
      <c r="L7" s="11">
        <f>L8+L15</f>
        <v>26138.03</v>
      </c>
      <c r="N7" s="2" t="s">
        <v>4</v>
      </c>
      <c r="O7" s="11">
        <f>O8+O15</f>
        <v>17611.435000000001</v>
      </c>
      <c r="P7" s="27"/>
    </row>
    <row r="8" spans="1:16" x14ac:dyDescent="0.25">
      <c r="D8" s="2" t="s">
        <v>8</v>
      </c>
      <c r="G8" s="2" t="s">
        <v>8</v>
      </c>
      <c r="K8" s="2" t="s">
        <v>8</v>
      </c>
      <c r="L8" s="7">
        <f>SUM(L9:L12)</f>
        <v>2323.9659999999999</v>
      </c>
      <c r="N8" s="2" t="s">
        <v>8</v>
      </c>
      <c r="O8" s="7">
        <f>SUM(O9:O12)</f>
        <v>1300.2800000000011</v>
      </c>
    </row>
    <row r="9" spans="1:16" x14ac:dyDescent="0.25">
      <c r="D9" t="s">
        <v>11</v>
      </c>
      <c r="G9" t="s">
        <v>11</v>
      </c>
      <c r="K9" t="s">
        <v>30</v>
      </c>
      <c r="L9" s="8">
        <f>2265.98-1937.402</f>
        <v>328.57799999999997</v>
      </c>
      <c r="N9" t="s">
        <v>30</v>
      </c>
      <c r="O9" s="68">
        <f>17231.437-16311.155-17.517-198.838+380-138.693</f>
        <v>945.23400000000106</v>
      </c>
    </row>
    <row r="10" spans="1:16" x14ac:dyDescent="0.25">
      <c r="D10" t="s">
        <v>5</v>
      </c>
      <c r="G10" t="s">
        <v>5</v>
      </c>
      <c r="K10" t="s">
        <v>5</v>
      </c>
      <c r="L10" s="8"/>
      <c r="N10" t="s">
        <v>5</v>
      </c>
      <c r="O10" s="8"/>
    </row>
    <row r="11" spans="1:16" x14ac:dyDescent="0.25">
      <c r="K11" t="s">
        <v>12</v>
      </c>
      <c r="L11" s="8">
        <v>1937.402</v>
      </c>
      <c r="N11" t="s">
        <v>12</v>
      </c>
      <c r="O11" s="8">
        <f>17.517+198.836</f>
        <v>216.35300000000001</v>
      </c>
    </row>
    <row r="12" spans="1:16" x14ac:dyDescent="0.25">
      <c r="D12" t="s">
        <v>6</v>
      </c>
      <c r="G12" t="s">
        <v>6</v>
      </c>
      <c r="K12" t="s">
        <v>6</v>
      </c>
      <c r="L12" s="8">
        <v>57.985999999999997</v>
      </c>
      <c r="N12" t="s">
        <v>6</v>
      </c>
      <c r="O12" s="8">
        <v>138.69300000000001</v>
      </c>
    </row>
    <row r="13" spans="1:16" x14ac:dyDescent="0.25">
      <c r="D13" s="2" t="s">
        <v>8</v>
      </c>
      <c r="E13" s="10">
        <f>SUM(E14)</f>
        <v>119.744</v>
      </c>
      <c r="G13" s="2" t="s">
        <v>8</v>
      </c>
      <c r="H13" s="10">
        <f>SUM(H14)</f>
        <v>119.744</v>
      </c>
      <c r="K13" s="2"/>
      <c r="L13" s="8"/>
      <c r="N13" s="2"/>
      <c r="O13" s="8"/>
    </row>
    <row r="14" spans="1:16" x14ac:dyDescent="0.25">
      <c r="D14" t="s">
        <v>7</v>
      </c>
      <c r="E14" s="25">
        <f>L27/2</f>
        <v>119.744</v>
      </c>
      <c r="G14" t="s">
        <v>7</v>
      </c>
      <c r="H14" s="25">
        <f>L27/2</f>
        <v>119.744</v>
      </c>
      <c r="L14" s="8"/>
      <c r="O14" s="8"/>
    </row>
    <row r="15" spans="1:16" x14ac:dyDescent="0.25">
      <c r="D15" s="2"/>
      <c r="G15" s="2"/>
      <c r="K15" s="2" t="s">
        <v>9</v>
      </c>
      <c r="L15" s="7">
        <v>23814.063999999998</v>
      </c>
      <c r="N15" s="2" t="s">
        <v>9</v>
      </c>
      <c r="O15" s="7">
        <v>16311.155000000001</v>
      </c>
    </row>
    <row r="16" spans="1:16" x14ac:dyDescent="0.25">
      <c r="L16" s="8"/>
      <c r="O16" s="8"/>
    </row>
    <row r="17" spans="4:17" x14ac:dyDescent="0.25">
      <c r="L17" s="8"/>
      <c r="O17" s="8"/>
    </row>
    <row r="18" spans="4:17" x14ac:dyDescent="0.25">
      <c r="D18" s="2" t="s">
        <v>17</v>
      </c>
      <c r="E18" s="4">
        <f>E19+E27</f>
        <v>119.744</v>
      </c>
      <c r="G18" s="2" t="s">
        <v>17</v>
      </c>
      <c r="H18" s="4">
        <f>H19+H27</f>
        <v>119.744</v>
      </c>
      <c r="K18" s="2" t="s">
        <v>17</v>
      </c>
      <c r="L18" s="11">
        <f>L19+L27</f>
        <v>26138.37</v>
      </c>
      <c r="N18" s="2" t="s">
        <v>17</v>
      </c>
      <c r="O18" s="11">
        <f>O19+O27</f>
        <v>17610.591000000004</v>
      </c>
      <c r="P18" s="27"/>
    </row>
    <row r="19" spans="4:17" x14ac:dyDescent="0.25">
      <c r="D19" s="2" t="s">
        <v>10</v>
      </c>
      <c r="E19" s="4">
        <f>E20</f>
        <v>0</v>
      </c>
      <c r="G19" s="2" t="s">
        <v>10</v>
      </c>
      <c r="H19">
        <f>H20</f>
        <v>0</v>
      </c>
      <c r="K19" s="2" t="s">
        <v>10</v>
      </c>
      <c r="L19" s="7">
        <f>L20+L24</f>
        <v>25898.881999999998</v>
      </c>
      <c r="N19" s="2" t="s">
        <v>10</v>
      </c>
      <c r="O19" s="7">
        <f>O20+O24</f>
        <v>16771.856000000003</v>
      </c>
    </row>
    <row r="20" spans="4:17" x14ac:dyDescent="0.25">
      <c r="D20" s="2" t="s">
        <v>8</v>
      </c>
      <c r="E20">
        <f>SUM(E21:E22)</f>
        <v>0</v>
      </c>
      <c r="G20" s="2" t="s">
        <v>8</v>
      </c>
      <c r="H20">
        <f>H21</f>
        <v>0</v>
      </c>
      <c r="K20" s="2" t="s">
        <v>8</v>
      </c>
      <c r="L20" s="7">
        <f>SUM(L21:L23)</f>
        <v>2084.8180000000002</v>
      </c>
      <c r="N20" s="2" t="s">
        <v>8</v>
      </c>
      <c r="O20" s="7">
        <f>SUM(O21:O22)</f>
        <v>460.70100000000173</v>
      </c>
    </row>
    <row r="21" spans="4:17" x14ac:dyDescent="0.25">
      <c r="D21" t="s">
        <v>11</v>
      </c>
      <c r="G21" t="s">
        <v>11</v>
      </c>
      <c r="K21" t="s">
        <v>11</v>
      </c>
      <c r="L21" s="8">
        <f>1964.818-1544.758</f>
        <v>420.05999999999995</v>
      </c>
      <c r="N21" t="s">
        <v>11</v>
      </c>
      <c r="O21" s="8">
        <f>17231.437-16311-227.944-458.736-1</f>
        <v>232.75700000000177</v>
      </c>
    </row>
    <row r="22" spans="4:17" x14ac:dyDescent="0.25">
      <c r="K22" t="s">
        <v>12</v>
      </c>
      <c r="L22" s="8">
        <v>1544.758</v>
      </c>
      <c r="N22" t="s">
        <v>12</v>
      </c>
      <c r="O22" s="8">
        <v>227.94399999999999</v>
      </c>
    </row>
    <row r="23" spans="4:17" x14ac:dyDescent="0.25">
      <c r="K23" t="s">
        <v>54</v>
      </c>
      <c r="L23" s="8">
        <v>120</v>
      </c>
      <c r="O23" s="8"/>
    </row>
    <row r="24" spans="4:17" x14ac:dyDescent="0.25">
      <c r="D24" s="2"/>
      <c r="G24" s="2"/>
      <c r="K24" s="2" t="s">
        <v>9</v>
      </c>
      <c r="L24" s="7">
        <f>L15</f>
        <v>23814.063999999998</v>
      </c>
      <c r="N24" s="2" t="s">
        <v>9</v>
      </c>
      <c r="O24" s="7">
        <f>O15</f>
        <v>16311.155000000001</v>
      </c>
      <c r="Q24" s="3"/>
    </row>
    <row r="25" spans="4:17" x14ac:dyDescent="0.25">
      <c r="L25" s="8"/>
      <c r="O25" s="8"/>
      <c r="P25" s="66"/>
      <c r="Q25" s="18"/>
    </row>
    <row r="26" spans="4:17" x14ac:dyDescent="0.25">
      <c r="K26" s="20">
        <f>H71</f>
        <v>0.13800000000000001</v>
      </c>
      <c r="L26" s="8">
        <f>L27*K26</f>
        <v>33.049344000000005</v>
      </c>
      <c r="O26" s="8">
        <f>O27-L26</f>
        <v>805.68565599999999</v>
      </c>
      <c r="P26" s="27"/>
      <c r="Q26" s="9"/>
    </row>
    <row r="27" spans="4:17" x14ac:dyDescent="0.25">
      <c r="D27" s="2" t="s">
        <v>13</v>
      </c>
      <c r="E27" s="54">
        <f>SUM(E28:E30)</f>
        <v>119.744</v>
      </c>
      <c r="G27" s="2" t="s">
        <v>13</v>
      </c>
      <c r="H27" s="47">
        <f>SUM(H28:H30)</f>
        <v>119.744</v>
      </c>
      <c r="K27" s="2" t="s">
        <v>13</v>
      </c>
      <c r="L27" s="32">
        <f>SUM(L28:L31)</f>
        <v>239.488</v>
      </c>
      <c r="N27" s="2" t="s">
        <v>13</v>
      </c>
      <c r="O27" s="34">
        <f>SUM(O28:O29)</f>
        <v>838.73500000000001</v>
      </c>
    </row>
    <row r="28" spans="4:17" x14ac:dyDescent="0.25">
      <c r="D28" t="s">
        <v>15</v>
      </c>
      <c r="E28" s="9">
        <f>E14</f>
        <v>119.744</v>
      </c>
      <c r="G28" t="s">
        <v>15</v>
      </c>
      <c r="H28" s="9">
        <f>H14</f>
        <v>119.744</v>
      </c>
      <c r="K28" t="s">
        <v>15</v>
      </c>
      <c r="L28" s="8">
        <v>85</v>
      </c>
      <c r="N28" t="s">
        <v>15</v>
      </c>
      <c r="O28" s="8">
        <f>139+380</f>
        <v>519</v>
      </c>
    </row>
    <row r="29" spans="4:17" x14ac:dyDescent="0.25">
      <c r="D29" t="s">
        <v>16</v>
      </c>
      <c r="G29" t="s">
        <v>16</v>
      </c>
      <c r="K29" t="s">
        <v>16</v>
      </c>
      <c r="L29" s="8">
        <f>268.488+6</f>
        <v>274.488</v>
      </c>
      <c r="N29" t="s">
        <v>16</v>
      </c>
      <c r="O29" s="8">
        <f>251.958+67.777</f>
        <v>319.73500000000001</v>
      </c>
    </row>
    <row r="30" spans="4:17" x14ac:dyDescent="0.25">
      <c r="D30" t="s">
        <v>14</v>
      </c>
      <c r="G30" t="s">
        <v>14</v>
      </c>
      <c r="K30" t="s">
        <v>14</v>
      </c>
      <c r="L30" s="8"/>
      <c r="N30" t="s">
        <v>14</v>
      </c>
    </row>
    <row r="31" spans="4:17" x14ac:dyDescent="0.25">
      <c r="K31" t="s">
        <v>54</v>
      </c>
      <c r="L31">
        <v>-120</v>
      </c>
    </row>
    <row r="33" spans="4:16" ht="15.75" thickBot="1" x14ac:dyDescent="0.3">
      <c r="G33" s="95" t="s">
        <v>72</v>
      </c>
      <c r="H33" s="95"/>
      <c r="I33" s="95"/>
      <c r="J33" s="3"/>
      <c r="P33" s="27">
        <f>L27+O27</f>
        <v>1078.223</v>
      </c>
    </row>
    <row r="34" spans="4:16" x14ac:dyDescent="0.25">
      <c r="G34" t="s">
        <v>28</v>
      </c>
      <c r="H34" s="9">
        <f>L27</f>
        <v>239.488</v>
      </c>
      <c r="I34" s="19">
        <f t="shared" ref="I34:I35" si="0">H34/H$36</f>
        <v>0.22211360729644983</v>
      </c>
      <c r="J34" s="19"/>
    </row>
    <row r="35" spans="4:16" x14ac:dyDescent="0.25">
      <c r="G35" t="s">
        <v>1</v>
      </c>
      <c r="H35" s="9">
        <f>O27</f>
        <v>838.73500000000001</v>
      </c>
      <c r="I35" s="19">
        <f t="shared" si="0"/>
        <v>0.7778863927035502</v>
      </c>
      <c r="J35" s="19"/>
      <c r="K35" s="53"/>
    </row>
    <row r="36" spans="4:16" ht="15.75" thickBot="1" x14ac:dyDescent="0.3">
      <c r="G36" s="1" t="s">
        <v>29</v>
      </c>
      <c r="H36" s="22">
        <f>SUM(H34:H35)</f>
        <v>1078.223</v>
      </c>
      <c r="I36" s="23">
        <f>H36/H$36</f>
        <v>1</v>
      </c>
      <c r="J36" s="30"/>
    </row>
    <row r="37" spans="4:16" ht="15.75" thickTop="1" x14ac:dyDescent="0.25"/>
    <row r="39" spans="4:16" ht="15.75" thickBot="1" x14ac:dyDescent="0.3">
      <c r="D39" s="94" t="s">
        <v>64</v>
      </c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4:16" ht="18.75" x14ac:dyDescent="0.3">
      <c r="D40" s="5" t="s">
        <v>2</v>
      </c>
      <c r="G40" s="5" t="s">
        <v>18</v>
      </c>
      <c r="K40" s="5" t="s">
        <v>19</v>
      </c>
      <c r="N40" s="5" t="s">
        <v>1</v>
      </c>
    </row>
    <row r="41" spans="4:16" x14ac:dyDescent="0.25">
      <c r="L41" s="9">
        <f>L42-L7-O7</f>
        <v>0</v>
      </c>
    </row>
    <row r="42" spans="4:16" x14ac:dyDescent="0.25">
      <c r="D42" s="2" t="s">
        <v>4</v>
      </c>
      <c r="E42" s="21">
        <f>E43+E48</f>
        <v>464.714113</v>
      </c>
      <c r="G42" s="2" t="s">
        <v>4</v>
      </c>
      <c r="H42" s="21">
        <f>H43+H48</f>
        <v>464.714113</v>
      </c>
      <c r="K42" s="2" t="s">
        <v>4</v>
      </c>
      <c r="L42" s="7">
        <f>L43+L50</f>
        <v>43749.464999999997</v>
      </c>
      <c r="N42" s="2" t="s">
        <v>4</v>
      </c>
      <c r="O42" s="7"/>
    </row>
    <row r="43" spans="4:16" x14ac:dyDescent="0.25">
      <c r="D43" s="2" t="s">
        <v>8</v>
      </c>
      <c r="G43" s="2" t="s">
        <v>8</v>
      </c>
      <c r="K43" s="2" t="s">
        <v>8</v>
      </c>
      <c r="L43" s="7">
        <f>SUM(L44:L47)</f>
        <v>3624.246000000001</v>
      </c>
      <c r="N43" s="2" t="s">
        <v>8</v>
      </c>
      <c r="O43" s="7">
        <f>SUM(O44:O46)</f>
        <v>0</v>
      </c>
    </row>
    <row r="44" spans="4:16" x14ac:dyDescent="0.25">
      <c r="D44" t="s">
        <v>11</v>
      </c>
      <c r="G44" t="s">
        <v>11</v>
      </c>
      <c r="K44" t="s">
        <v>11</v>
      </c>
      <c r="L44" s="8">
        <f>L9+O9</f>
        <v>1273.812000000001</v>
      </c>
      <c r="N44" t="s">
        <v>11</v>
      </c>
      <c r="O44" s="8"/>
    </row>
    <row r="45" spans="4:16" x14ac:dyDescent="0.25">
      <c r="D45" t="s">
        <v>5</v>
      </c>
      <c r="G45" t="s">
        <v>5</v>
      </c>
      <c r="K45" t="s">
        <v>5</v>
      </c>
      <c r="L45" s="8">
        <f>L10+O10</f>
        <v>0</v>
      </c>
      <c r="N45" t="s">
        <v>5</v>
      </c>
      <c r="O45" s="8"/>
    </row>
    <row r="46" spans="4:16" x14ac:dyDescent="0.25">
      <c r="K46" t="s">
        <v>12</v>
      </c>
      <c r="L46" s="8">
        <f>L11+O11</f>
        <v>2153.7550000000001</v>
      </c>
      <c r="N46" t="s">
        <v>12</v>
      </c>
      <c r="O46" s="8"/>
    </row>
    <row r="47" spans="4:16" x14ac:dyDescent="0.25">
      <c r="D47" t="s">
        <v>6</v>
      </c>
      <c r="G47" t="s">
        <v>6</v>
      </c>
      <c r="K47" t="s">
        <v>6</v>
      </c>
      <c r="L47" s="8">
        <f>L12+O12</f>
        <v>196.679</v>
      </c>
      <c r="N47" t="s">
        <v>6</v>
      </c>
      <c r="O47" s="8"/>
    </row>
    <row r="48" spans="4:16" x14ac:dyDescent="0.25">
      <c r="D48" s="2" t="s">
        <v>8</v>
      </c>
      <c r="E48" s="21">
        <f>SUM(E49:E51)</f>
        <v>464.714113</v>
      </c>
      <c r="G48" s="2" t="s">
        <v>8</v>
      </c>
      <c r="H48" s="21">
        <f>SUM(H49:H51)</f>
        <v>464.714113</v>
      </c>
      <c r="I48" s="28">
        <f>E48+H48</f>
        <v>929.428226</v>
      </c>
      <c r="K48" s="2" t="s">
        <v>8</v>
      </c>
      <c r="L48" s="8"/>
      <c r="N48" s="2" t="s">
        <v>8</v>
      </c>
      <c r="O48" s="8"/>
    </row>
    <row r="49" spans="2:15" x14ac:dyDescent="0.25">
      <c r="D49" t="s">
        <v>7</v>
      </c>
      <c r="E49" s="33">
        <f>E14</f>
        <v>119.744</v>
      </c>
      <c r="G49" t="s">
        <v>7</v>
      </c>
      <c r="H49" s="33">
        <f>H27</f>
        <v>119.744</v>
      </c>
      <c r="L49" s="8"/>
      <c r="O49" s="8"/>
    </row>
    <row r="50" spans="2:15" x14ac:dyDescent="0.25">
      <c r="B50" s="9">
        <f>E50+H50</f>
        <v>838.73500000000001</v>
      </c>
      <c r="D50" t="s">
        <v>24</v>
      </c>
      <c r="E50" s="35">
        <f>O27/2</f>
        <v>419.36750000000001</v>
      </c>
      <c r="G50" t="s">
        <v>24</v>
      </c>
      <c r="H50" s="35">
        <f>O27/2</f>
        <v>419.36750000000001</v>
      </c>
      <c r="J50" s="9"/>
      <c r="K50" s="2" t="s">
        <v>9</v>
      </c>
      <c r="L50" s="7">
        <f>L24+O24</f>
        <v>40125.218999999997</v>
      </c>
      <c r="N50" s="2" t="s">
        <v>9</v>
      </c>
      <c r="O50" s="7"/>
    </row>
    <row r="51" spans="2:15" x14ac:dyDescent="0.25">
      <c r="D51" t="s">
        <v>26</v>
      </c>
      <c r="E51" s="38">
        <f>E66</f>
        <v>-74.397387000000009</v>
      </c>
      <c r="G51" t="s">
        <v>26</v>
      </c>
      <c r="H51" s="38">
        <f>H66</f>
        <v>-74.397387000000009</v>
      </c>
      <c r="L51" s="8"/>
      <c r="O51" s="8"/>
    </row>
    <row r="52" spans="2:15" x14ac:dyDescent="0.25">
      <c r="D52" s="39" t="s">
        <v>39</v>
      </c>
      <c r="E52" s="40">
        <f>E50+E51</f>
        <v>344.97011299999997</v>
      </c>
      <c r="G52" s="39" t="s">
        <v>39</v>
      </c>
      <c r="H52" s="40">
        <f>H50+H51</f>
        <v>344.97011299999997</v>
      </c>
      <c r="L52" s="8"/>
      <c r="O52" s="8"/>
    </row>
    <row r="53" spans="2:15" x14ac:dyDescent="0.25">
      <c r="D53" s="2" t="s">
        <v>17</v>
      </c>
      <c r="E53" s="4">
        <f>E54+E62</f>
        <v>464.714113</v>
      </c>
      <c r="G53" s="2" t="s">
        <v>17</v>
      </c>
      <c r="H53" s="4">
        <f>H54+H62</f>
        <v>464.714113</v>
      </c>
      <c r="K53" s="2" t="s">
        <v>17</v>
      </c>
      <c r="L53" s="7">
        <f>L54+L62</f>
        <v>43748.960999999996</v>
      </c>
      <c r="N53" s="2" t="s">
        <v>17</v>
      </c>
      <c r="O53" s="7">
        <f>O54+O62</f>
        <v>0</v>
      </c>
    </row>
    <row r="54" spans="2:15" x14ac:dyDescent="0.25">
      <c r="D54" s="2" t="s">
        <v>10</v>
      </c>
      <c r="E54" s="4">
        <f>E55</f>
        <v>0</v>
      </c>
      <c r="G54" s="2" t="s">
        <v>10</v>
      </c>
      <c r="H54">
        <f>H55</f>
        <v>0</v>
      </c>
      <c r="K54" s="2" t="s">
        <v>10</v>
      </c>
      <c r="L54" s="7">
        <f>L55+L59</f>
        <v>42670.737999999998</v>
      </c>
      <c r="N54" s="2" t="s">
        <v>10</v>
      </c>
      <c r="O54" s="7">
        <f>O55+O59</f>
        <v>0</v>
      </c>
    </row>
    <row r="55" spans="2:15" x14ac:dyDescent="0.25">
      <c r="D55" s="2" t="s">
        <v>8</v>
      </c>
      <c r="E55">
        <f>SUM(E56:E57)</f>
        <v>0</v>
      </c>
      <c r="G55" s="2" t="s">
        <v>8</v>
      </c>
      <c r="H55">
        <f>H56</f>
        <v>0</v>
      </c>
      <c r="K55" s="2" t="s">
        <v>8</v>
      </c>
      <c r="L55" s="7">
        <f>SUM(L56:L58)</f>
        <v>2545.5190000000016</v>
      </c>
      <c r="N55" s="2" t="s">
        <v>8</v>
      </c>
      <c r="O55" s="7">
        <f>SUM(O56:O57)</f>
        <v>0</v>
      </c>
    </row>
    <row r="56" spans="2:15" x14ac:dyDescent="0.25">
      <c r="D56" t="s">
        <v>11</v>
      </c>
      <c r="G56" t="s">
        <v>11</v>
      </c>
      <c r="K56" t="s">
        <v>11</v>
      </c>
      <c r="L56" s="8">
        <f>L21+O21</f>
        <v>652.81700000000171</v>
      </c>
      <c r="N56" t="s">
        <v>11</v>
      </c>
      <c r="O56" s="8"/>
    </row>
    <row r="57" spans="2:15" x14ac:dyDescent="0.25">
      <c r="K57" t="s">
        <v>12</v>
      </c>
      <c r="L57" s="8">
        <f>L22+O22</f>
        <v>1772.702</v>
      </c>
      <c r="N57" t="s">
        <v>12</v>
      </c>
      <c r="O57" s="8"/>
    </row>
    <row r="58" spans="2:15" x14ac:dyDescent="0.25">
      <c r="K58" t="str">
        <f>K31</f>
        <v>dividendos</v>
      </c>
      <c r="L58" s="8">
        <v>120</v>
      </c>
      <c r="O58" s="8"/>
    </row>
    <row r="59" spans="2:15" x14ac:dyDescent="0.25">
      <c r="D59" s="2"/>
      <c r="G59" s="2"/>
      <c r="K59" s="2" t="s">
        <v>9</v>
      </c>
      <c r="L59" s="7">
        <f>L24+O24</f>
        <v>40125.218999999997</v>
      </c>
      <c r="N59" s="2" t="s">
        <v>9</v>
      </c>
      <c r="O59" s="7"/>
    </row>
    <row r="60" spans="2:15" x14ac:dyDescent="0.25">
      <c r="L60" s="8"/>
      <c r="O60" s="8"/>
    </row>
    <row r="61" spans="2:15" x14ac:dyDescent="0.25">
      <c r="L61" s="8">
        <f>L62-L27-O27</f>
        <v>0</v>
      </c>
      <c r="O61" s="8"/>
    </row>
    <row r="62" spans="2:15" x14ac:dyDescent="0.25">
      <c r="D62" s="2" t="s">
        <v>13</v>
      </c>
      <c r="E62" s="4">
        <f>SUM(E63:E66)</f>
        <v>464.714113</v>
      </c>
      <c r="G62" s="2" t="s">
        <v>13</v>
      </c>
      <c r="H62" s="4">
        <f>SUM(H63:H66)</f>
        <v>464.714113</v>
      </c>
      <c r="K62" s="2" t="s">
        <v>13</v>
      </c>
      <c r="L62" s="32">
        <f>SUM(L63:L66)</f>
        <v>1078.223</v>
      </c>
      <c r="N62" s="2" t="s">
        <v>13</v>
      </c>
      <c r="O62" s="7">
        <f>L62-L27-O27</f>
        <v>0</v>
      </c>
    </row>
    <row r="63" spans="2:15" x14ac:dyDescent="0.25">
      <c r="D63" t="s">
        <v>15</v>
      </c>
      <c r="E63" s="9">
        <f>E49</f>
        <v>119.744</v>
      </c>
      <c r="G63" t="s">
        <v>15</v>
      </c>
      <c r="H63" s="9">
        <f>H49</f>
        <v>119.744</v>
      </c>
      <c r="K63" t="s">
        <v>15</v>
      </c>
      <c r="L63" s="8">
        <f>L28+O28</f>
        <v>604</v>
      </c>
      <c r="N63" t="s">
        <v>15</v>
      </c>
      <c r="O63" s="8"/>
    </row>
    <row r="64" spans="2:15" ht="15.75" thickBot="1" x14ac:dyDescent="0.3">
      <c r="D64" t="s">
        <v>16</v>
      </c>
      <c r="G64" t="s">
        <v>16</v>
      </c>
      <c r="K64" t="s">
        <v>16</v>
      </c>
      <c r="L64" s="8">
        <f>L29+O29</f>
        <v>594.22299999999996</v>
      </c>
      <c r="N64" t="s">
        <v>16</v>
      </c>
      <c r="O64" s="8"/>
    </row>
    <row r="65" spans="4:27" x14ac:dyDescent="0.25">
      <c r="D65" s="12" t="s">
        <v>25</v>
      </c>
      <c r="E65" s="48">
        <f>O27/2</f>
        <v>419.36750000000001</v>
      </c>
      <c r="G65" s="12" t="s">
        <v>25</v>
      </c>
      <c r="H65" s="48">
        <f>O27/2</f>
        <v>419.36750000000001</v>
      </c>
      <c r="K65" t="s">
        <v>14</v>
      </c>
      <c r="L65" s="8"/>
      <c r="N65" t="s">
        <v>14</v>
      </c>
    </row>
    <row r="66" spans="4:27" ht="15.75" thickBot="1" x14ac:dyDescent="0.3">
      <c r="D66" s="15" t="s">
        <v>26</v>
      </c>
      <c r="E66" s="49">
        <f>-E75</f>
        <v>-74.397387000000009</v>
      </c>
      <c r="G66" s="15" t="s">
        <v>26</v>
      </c>
      <c r="H66" s="49">
        <f>-H75</f>
        <v>-74.397387000000009</v>
      </c>
      <c r="K66" t="s">
        <v>54</v>
      </c>
      <c r="L66">
        <f>L31</f>
        <v>-120</v>
      </c>
    </row>
    <row r="67" spans="4:27" x14ac:dyDescent="0.25">
      <c r="D67" s="39" t="s">
        <v>39</v>
      </c>
      <c r="E67" s="40">
        <f>E65+E66</f>
        <v>344.97011299999997</v>
      </c>
      <c r="G67" s="39" t="s">
        <v>39</v>
      </c>
      <c r="H67" s="40">
        <f>H65+H66</f>
        <v>344.97011299999997</v>
      </c>
      <c r="L67" s="8"/>
      <c r="O67" s="8"/>
    </row>
    <row r="68" spans="4:27" ht="15.75" thickBot="1" x14ac:dyDescent="0.3">
      <c r="I68" t="s">
        <v>60</v>
      </c>
      <c r="L68" s="9"/>
    </row>
    <row r="69" spans="4:27" x14ac:dyDescent="0.25">
      <c r="D69" s="12" t="s">
        <v>22</v>
      </c>
      <c r="E69" s="13">
        <f>E62-E27</f>
        <v>344.97011299999997</v>
      </c>
      <c r="F69" s="13"/>
      <c r="G69" s="13"/>
      <c r="H69" s="14">
        <f>H62-H27</f>
        <v>344.97011299999997</v>
      </c>
      <c r="I69" t="s">
        <v>61</v>
      </c>
      <c r="J69" s="9">
        <f>E27+H27</f>
        <v>239.488</v>
      </c>
      <c r="L69" s="9">
        <f>L62</f>
        <v>1078.223</v>
      </c>
    </row>
    <row r="70" spans="4:27" ht="15.75" thickBot="1" x14ac:dyDescent="0.3">
      <c r="D70" s="15"/>
      <c r="E70" s="16"/>
      <c r="F70" s="16"/>
      <c r="G70" s="16"/>
      <c r="H70" s="17">
        <f>E69+H69</f>
        <v>689.94022599999994</v>
      </c>
      <c r="I70" s="9" t="s">
        <v>62</v>
      </c>
      <c r="J70" s="9">
        <f>H70</f>
        <v>689.94022599999994</v>
      </c>
      <c r="K70" s="20">
        <f>E71</f>
        <v>0.13800000000000001</v>
      </c>
      <c r="L70" s="28">
        <f>L69*K70</f>
        <v>148.79477400000002</v>
      </c>
      <c r="N70" t="s">
        <v>1</v>
      </c>
    </row>
    <row r="71" spans="4:27" ht="15.75" thickBot="1" x14ac:dyDescent="0.3">
      <c r="D71" t="s">
        <v>59</v>
      </c>
      <c r="E71" s="19">
        <v>0.13800000000000001</v>
      </c>
      <c r="H71" s="20">
        <f>E71</f>
        <v>0.13800000000000001</v>
      </c>
      <c r="I71" t="s">
        <v>63</v>
      </c>
      <c r="J71" s="22">
        <f>SUM(J69:J70)</f>
        <v>929.428226</v>
      </c>
      <c r="K71" s="20">
        <f>1-K70</f>
        <v>0.86199999999999999</v>
      </c>
      <c r="L71" s="28">
        <f>L69*K71</f>
        <v>929.428226</v>
      </c>
      <c r="N71" t="s">
        <v>35</v>
      </c>
    </row>
    <row r="72" spans="4:27" ht="15.75" thickTop="1" x14ac:dyDescent="0.25">
      <c r="D72" t="str">
        <f>D49</f>
        <v>Inv. Embracon</v>
      </c>
      <c r="E72" s="33">
        <f>E49</f>
        <v>119.744</v>
      </c>
      <c r="H72" s="20"/>
      <c r="K72" s="20"/>
      <c r="L72" s="28"/>
    </row>
    <row r="73" spans="4:27" x14ac:dyDescent="0.25">
      <c r="D73" t="str">
        <f>D50</f>
        <v>Incorporaçao base</v>
      </c>
      <c r="E73" s="36">
        <f>E50</f>
        <v>419.36750000000001</v>
      </c>
      <c r="L73" t="s">
        <v>36</v>
      </c>
      <c r="P73" s="27"/>
    </row>
    <row r="74" spans="4:27" x14ac:dyDescent="0.25">
      <c r="D74" s="2" t="s">
        <v>31</v>
      </c>
      <c r="E74" s="9">
        <f>SUM(E72:E73)</f>
        <v>539.11149999999998</v>
      </c>
      <c r="G74" s="2" t="s">
        <v>13</v>
      </c>
      <c r="H74" s="9">
        <f>H49+H50</f>
        <v>539.11149999999998</v>
      </c>
      <c r="L74" s="28">
        <f>L71/2</f>
        <v>464.714113</v>
      </c>
      <c r="P74" s="108"/>
    </row>
    <row r="75" spans="4:27" x14ac:dyDescent="0.25">
      <c r="D75" s="1" t="s">
        <v>38</v>
      </c>
      <c r="E75" s="37">
        <f>E74*E71</f>
        <v>74.397387000000009</v>
      </c>
      <c r="H75">
        <f>H74*H71</f>
        <v>74.397387000000009</v>
      </c>
      <c r="W75" s="4"/>
      <c r="Z75" s="4"/>
    </row>
    <row r="76" spans="4:27" ht="15.75" thickBot="1" x14ac:dyDescent="0.3">
      <c r="K76" t="s">
        <v>37</v>
      </c>
      <c r="L76" s="28">
        <f>L70/2</f>
        <v>74.397387000000009</v>
      </c>
      <c r="N76" s="78" t="s">
        <v>87</v>
      </c>
      <c r="Q76" s="107">
        <f>Q84/Q78</f>
        <v>1</v>
      </c>
      <c r="W76" s="106"/>
      <c r="X76" s="109" t="s">
        <v>99</v>
      </c>
      <c r="Y76" s="110"/>
      <c r="Z76" s="109" t="s">
        <v>107</v>
      </c>
      <c r="AA76" s="110"/>
    </row>
    <row r="77" spans="4:27" x14ac:dyDescent="0.25">
      <c r="N77" s="70"/>
      <c r="O77" s="79" t="s">
        <v>75</v>
      </c>
      <c r="P77" s="79" t="s">
        <v>73</v>
      </c>
      <c r="Q77" s="80" t="s">
        <v>82</v>
      </c>
      <c r="R77" s="81" t="s">
        <v>83</v>
      </c>
      <c r="S77" s="72"/>
      <c r="T77" s="73"/>
      <c r="W77" s="118" t="s">
        <v>98</v>
      </c>
      <c r="X77" s="111" t="s">
        <v>96</v>
      </c>
      <c r="Y77" s="112" t="s">
        <v>97</v>
      </c>
      <c r="Z77" s="111" t="s">
        <v>96</v>
      </c>
      <c r="AA77" s="112" t="s">
        <v>97</v>
      </c>
    </row>
    <row r="78" spans="4:27" x14ac:dyDescent="0.25">
      <c r="D78" s="44" t="s">
        <v>32</v>
      </c>
      <c r="E78" s="4" t="s">
        <v>75</v>
      </c>
      <c r="N78" s="74"/>
      <c r="Q78" s="69">
        <v>0.6</v>
      </c>
      <c r="T78" s="75"/>
      <c r="W78" s="119">
        <v>1000</v>
      </c>
      <c r="X78" s="113">
        <f>(W78-$Q$83*Q76)*34%</f>
        <v>120.04250800000004</v>
      </c>
      <c r="Y78" s="114">
        <f>Y79</f>
        <v>1040.4676973764433</v>
      </c>
      <c r="Z78" s="113">
        <f>(W78-18)*22.5%</f>
        <v>220.95000000000002</v>
      </c>
      <c r="AA78" s="115">
        <f>W101</f>
        <v>1040.4676973764433</v>
      </c>
    </row>
    <row r="79" spans="4:27" x14ac:dyDescent="0.25">
      <c r="D79" t="s">
        <v>19</v>
      </c>
      <c r="E79" s="58">
        <f>L62</f>
        <v>1078.223</v>
      </c>
      <c r="F79" s="31">
        <f>E79/$E$79</f>
        <v>1</v>
      </c>
      <c r="I79" s="67" t="s">
        <v>74</v>
      </c>
      <c r="N79" s="74" t="s">
        <v>78</v>
      </c>
      <c r="O79" s="9">
        <f>H34</f>
        <v>239.488</v>
      </c>
      <c r="P79" s="9">
        <f>O79</f>
        <v>239.488</v>
      </c>
      <c r="Q79" s="9">
        <f>P79+F100</f>
        <v>208.115072</v>
      </c>
      <c r="R79" s="9">
        <f>Q79-P79</f>
        <v>-31.372928000000002</v>
      </c>
      <c r="S79" s="91" t="s">
        <v>85</v>
      </c>
      <c r="T79" s="75"/>
      <c r="W79" s="119">
        <f>O100</f>
        <v>3532.7999999999997</v>
      </c>
      <c r="X79" s="113">
        <f>(W79-$Q$83*Q76)*34%</f>
        <v>981.19450800000004</v>
      </c>
      <c r="Y79" s="115">
        <f>(W79-$O$97)*34%</f>
        <v>1040.4676973764433</v>
      </c>
      <c r="Z79" s="113">
        <f>(W79-18)*22.5%</f>
        <v>790.82999999999993</v>
      </c>
      <c r="AA79" s="115">
        <f>AA78</f>
        <v>1040.4676973764433</v>
      </c>
    </row>
    <row r="80" spans="4:27" x14ac:dyDescent="0.25">
      <c r="D80" t="s">
        <v>33</v>
      </c>
      <c r="E80">
        <f>E62</f>
        <v>464.714113</v>
      </c>
      <c r="F80" s="30">
        <f>E80/$E$79</f>
        <v>0.43099999999999999</v>
      </c>
      <c r="G80" s="41" t="s">
        <v>40</v>
      </c>
      <c r="H80" s="6">
        <f>E14</f>
        <v>119.744</v>
      </c>
      <c r="I80" s="84">
        <f>E80-H80</f>
        <v>344.97011299999997</v>
      </c>
      <c r="N80" s="74" t="s">
        <v>79</v>
      </c>
      <c r="O80" s="102">
        <f>H35*P88</f>
        <v>548.18015011547345</v>
      </c>
      <c r="P80">
        <v>0</v>
      </c>
      <c r="Q80" s="9">
        <f>T85</f>
        <v>264.48581806928394</v>
      </c>
      <c r="R80" s="9">
        <f t="shared" ref="R80:R81" si="1">Q80-P80</f>
        <v>264.48581806928394</v>
      </c>
      <c r="S80" s="91" t="s">
        <v>84</v>
      </c>
      <c r="T80" s="75"/>
      <c r="W80" s="120">
        <v>5000</v>
      </c>
      <c r="X80" s="116">
        <f>(W80-$Q$83*Q76)*34%</f>
        <v>1480.0425080000002</v>
      </c>
      <c r="Y80" s="117">
        <f>(W80-$O$97)*34%</f>
        <v>1539.3156973764435</v>
      </c>
      <c r="Z80" s="116">
        <f>(W80-18)*22.5%</f>
        <v>1120.95</v>
      </c>
      <c r="AA80" s="117">
        <f>AA79+(W80-W79)*22.5%</f>
        <v>1370.5876973764434</v>
      </c>
    </row>
    <row r="81" spans="4:26" x14ac:dyDescent="0.25">
      <c r="D81" t="s">
        <v>18</v>
      </c>
      <c r="E81">
        <f>H62</f>
        <v>464.714113</v>
      </c>
      <c r="F81" s="30">
        <f>E81/$E$79</f>
        <v>0.43099999999999999</v>
      </c>
      <c r="G81" s="41" t="s">
        <v>40</v>
      </c>
      <c r="H81" s="6">
        <f>H14</f>
        <v>119.744</v>
      </c>
      <c r="I81" s="84">
        <f>E81-H81</f>
        <v>344.97011299999997</v>
      </c>
      <c r="N81" s="74" t="s">
        <v>80</v>
      </c>
      <c r="O81" s="102">
        <f>H35*O88</f>
        <v>290.55484988452656</v>
      </c>
      <c r="P81">
        <v>0</v>
      </c>
      <c r="Q81" s="9">
        <f t="shared" ref="Q81" si="2">O81*$Q$78</f>
        <v>174.33290993071594</v>
      </c>
      <c r="R81" s="9">
        <f t="shared" si="1"/>
        <v>174.33290993071594</v>
      </c>
      <c r="S81" s="91" t="s">
        <v>86</v>
      </c>
      <c r="T81" s="75"/>
    </row>
    <row r="82" spans="4:26" x14ac:dyDescent="0.25">
      <c r="D82" t="s">
        <v>34</v>
      </c>
      <c r="E82" s="50">
        <f>L70</f>
        <v>148.79477400000002</v>
      </c>
      <c r="F82" s="30">
        <f>E82/$E$79</f>
        <v>0.13800000000000001</v>
      </c>
      <c r="G82" s="41" t="s">
        <v>41</v>
      </c>
      <c r="H82" s="6">
        <f>O27</f>
        <v>838.73500000000001</v>
      </c>
      <c r="W82" s="106" t="s">
        <v>108</v>
      </c>
      <c r="X82" s="62"/>
      <c r="Y82" s="62"/>
      <c r="Z82" s="9"/>
    </row>
    <row r="83" spans="4:26" ht="15.75" thickBot="1" x14ac:dyDescent="0.3">
      <c r="E83" s="9"/>
      <c r="G83" s="41" t="s">
        <v>26</v>
      </c>
      <c r="H83" s="6">
        <f>E51</f>
        <v>-74.397387000000009</v>
      </c>
      <c r="N83" s="76" t="s">
        <v>81</v>
      </c>
      <c r="O83" s="77">
        <f>SUM(O79:O81)</f>
        <v>1078.223</v>
      </c>
      <c r="P83" s="77">
        <f>SUM(P79:P81)</f>
        <v>239.488</v>
      </c>
      <c r="Q83" s="77">
        <f>SUM(Q79:Q81)</f>
        <v>646.93379999999991</v>
      </c>
      <c r="R83" s="77">
        <f>SUM(R79:R81)</f>
        <v>407.44579999999985</v>
      </c>
      <c r="S83" s="92"/>
      <c r="T83" s="93"/>
      <c r="W83" s="2" t="s">
        <v>98</v>
      </c>
      <c r="X83" s="2" t="s">
        <v>96</v>
      </c>
      <c r="Y83" s="2" t="s">
        <v>97</v>
      </c>
      <c r="Z83" s="9"/>
    </row>
    <row r="84" spans="4:26" x14ac:dyDescent="0.25">
      <c r="G84" s="41" t="s">
        <v>26</v>
      </c>
      <c r="H84" s="42">
        <f>H51</f>
        <v>-74.397387000000009</v>
      </c>
      <c r="Q84" s="103">
        <v>0.6</v>
      </c>
      <c r="W84" s="9">
        <v>1000</v>
      </c>
      <c r="X84" s="9">
        <f>(W84-$Q$79-Q80)*34%</f>
        <v>179.31569737644347</v>
      </c>
      <c r="Y84" s="33">
        <f>Y85</f>
        <v>1040.4676973764433</v>
      </c>
    </row>
    <row r="85" spans="4:26" ht="15.75" thickBot="1" x14ac:dyDescent="0.3">
      <c r="H85" s="6">
        <f>SUM(H80:H84)</f>
        <v>929.428226</v>
      </c>
      <c r="N85" s="78" t="s">
        <v>88</v>
      </c>
      <c r="Q85" s="9">
        <f>Q84*O83</f>
        <v>646.93379999999991</v>
      </c>
      <c r="R85" s="9">
        <f>O83*60%</f>
        <v>646.93379999999991</v>
      </c>
      <c r="S85" s="9">
        <f>Q79+Q81</f>
        <v>382.44798193071597</v>
      </c>
      <c r="T85" s="9">
        <f>Q85-S85</f>
        <v>264.48581806928394</v>
      </c>
      <c r="W85" s="9">
        <f>W79</f>
        <v>3532.7999999999997</v>
      </c>
      <c r="X85" s="9">
        <f>(W85-$Q$79-Q80)*34%</f>
        <v>1040.4676973764433</v>
      </c>
      <c r="Y85" s="9">
        <f>(W85-$O$97)*34%</f>
        <v>1040.4676973764433</v>
      </c>
    </row>
    <row r="86" spans="4:26" x14ac:dyDescent="0.25">
      <c r="E86" s="20">
        <f>E71</f>
        <v>0.13800000000000001</v>
      </c>
      <c r="G86" s="41" t="s">
        <v>42</v>
      </c>
      <c r="H86" s="6"/>
      <c r="N86" s="90" t="s">
        <v>89</v>
      </c>
      <c r="O86" s="71" t="s">
        <v>77</v>
      </c>
      <c r="P86" s="85" t="s">
        <v>76</v>
      </c>
      <c r="W86" s="9">
        <v>5000</v>
      </c>
      <c r="X86" s="9">
        <f>(W86-$Q$79-Q80)*34%</f>
        <v>1539.3156973764437</v>
      </c>
      <c r="Y86" s="9">
        <f>(W86-$O$97)*34%</f>
        <v>1539.3156973764435</v>
      </c>
    </row>
    <row r="87" spans="4:26" x14ac:dyDescent="0.25">
      <c r="E87" s="43">
        <v>0.4</v>
      </c>
      <c r="G87" s="41" t="s">
        <v>2</v>
      </c>
      <c r="H87" s="6">
        <f>E48</f>
        <v>464.714113</v>
      </c>
      <c r="N87" s="86">
        <v>866</v>
      </c>
      <c r="O87">
        <v>300</v>
      </c>
      <c r="P87" s="75">
        <f>N87*P88</f>
        <v>566</v>
      </c>
    </row>
    <row r="88" spans="4:26" ht="15.75" thickBot="1" x14ac:dyDescent="0.3">
      <c r="E88" s="20">
        <f>E87-E86</f>
        <v>0.26200000000000001</v>
      </c>
      <c r="G88" s="41" t="s">
        <v>18</v>
      </c>
      <c r="H88" s="6">
        <f>H62</f>
        <v>464.714113</v>
      </c>
      <c r="N88" s="87"/>
      <c r="O88" s="88">
        <f>O87/N87</f>
        <v>0.3464203233256351</v>
      </c>
      <c r="P88" s="89">
        <f>100%-O88</f>
        <v>0.6535796766743649</v>
      </c>
      <c r="W88" s="106" t="s">
        <v>109</v>
      </c>
      <c r="X88" s="62"/>
      <c r="Y88" s="62"/>
    </row>
    <row r="89" spans="4:26" x14ac:dyDescent="0.25">
      <c r="E89" s="19">
        <f>E88/2</f>
        <v>0.13100000000000001</v>
      </c>
      <c r="F89" t="s">
        <v>43</v>
      </c>
      <c r="W89" s="2" t="s">
        <v>98</v>
      </c>
      <c r="X89" s="2" t="s">
        <v>96</v>
      </c>
      <c r="Y89" s="2" t="s">
        <v>97</v>
      </c>
    </row>
    <row r="90" spans="4:26" x14ac:dyDescent="0.25">
      <c r="N90" s="96" t="s">
        <v>91</v>
      </c>
      <c r="O90" s="97">
        <v>5888</v>
      </c>
      <c r="W90" s="9">
        <v>1000</v>
      </c>
      <c r="X90" s="9">
        <f>(W90-$Q$79)*34%</f>
        <v>269.24087551999997</v>
      </c>
      <c r="Y90" s="33">
        <f>Y91</f>
        <v>1040.4676973764433</v>
      </c>
    </row>
    <row r="91" spans="4:26" x14ac:dyDescent="0.25">
      <c r="D91" t="s">
        <v>44</v>
      </c>
      <c r="E91" s="82" t="s">
        <v>45</v>
      </c>
      <c r="F91" t="s">
        <v>46</v>
      </c>
      <c r="G91" s="67" t="s">
        <v>47</v>
      </c>
      <c r="H91" s="53" t="s">
        <v>56</v>
      </c>
      <c r="I91" s="53" t="s">
        <v>57</v>
      </c>
      <c r="J91" s="53"/>
      <c r="K91" s="53" t="s">
        <v>58</v>
      </c>
      <c r="N91" s="98" t="s">
        <v>92</v>
      </c>
      <c r="O91" s="99">
        <f>N87</f>
        <v>866</v>
      </c>
      <c r="W91" s="9">
        <f>W85</f>
        <v>3532.7999999999997</v>
      </c>
      <c r="X91" s="9">
        <f t="shared" ref="X91:X92" si="3">(W91-$Q$79)*34%</f>
        <v>1130.39287552</v>
      </c>
      <c r="Y91" s="9">
        <f>(W91-$O$97)*34%</f>
        <v>1040.4676973764433</v>
      </c>
    </row>
    <row r="92" spans="4:26" x14ac:dyDescent="0.25">
      <c r="D92" t="s">
        <v>33</v>
      </c>
      <c r="E92" s="20">
        <f>F80</f>
        <v>0.43099999999999999</v>
      </c>
      <c r="F92" s="46">
        <f>-E89</f>
        <v>-0.13100000000000001</v>
      </c>
      <c r="G92" s="45">
        <f>SUM(E92:F92)</f>
        <v>0.3</v>
      </c>
      <c r="H92" s="20">
        <f>F92</f>
        <v>-0.13100000000000001</v>
      </c>
      <c r="I92" s="20">
        <f>$E$71/2*-1</f>
        <v>-6.9000000000000006E-2</v>
      </c>
      <c r="J92" s="20"/>
      <c r="K92" s="55">
        <f>SUM(H92:I92)</f>
        <v>-0.2</v>
      </c>
      <c r="N92" s="100" t="s">
        <v>90</v>
      </c>
      <c r="O92" s="101">
        <f>O90-O91</f>
        <v>5022</v>
      </c>
      <c r="W92" s="9">
        <v>5000</v>
      </c>
      <c r="X92" s="9">
        <f t="shared" si="3"/>
        <v>1629.2408755200001</v>
      </c>
      <c r="Y92" s="9">
        <f>(W92-$O$97)*34%</f>
        <v>1539.3156973764435</v>
      </c>
    </row>
    <row r="93" spans="4:26" x14ac:dyDescent="0.25">
      <c r="D93" t="s">
        <v>18</v>
      </c>
      <c r="E93" s="20">
        <f>F81</f>
        <v>0.43099999999999999</v>
      </c>
      <c r="F93" s="46">
        <f>-E89</f>
        <v>-0.13100000000000001</v>
      </c>
      <c r="G93" s="45">
        <f>SUM(E93:F93)</f>
        <v>0.3</v>
      </c>
      <c r="H93" s="20">
        <f>F93</f>
        <v>-0.13100000000000001</v>
      </c>
      <c r="I93" s="20">
        <f>$E$71/2*-1</f>
        <v>-6.9000000000000006E-2</v>
      </c>
      <c r="J93" s="20"/>
      <c r="K93" s="55">
        <f>SUM(H93:I93)</f>
        <v>-0.2</v>
      </c>
      <c r="Q93" s="9">
        <f>O97-31</f>
        <v>441.60089006928411</v>
      </c>
    </row>
    <row r="94" spans="4:26" ht="15.75" thickBot="1" x14ac:dyDescent="0.3">
      <c r="D94" t="s">
        <v>34</v>
      </c>
      <c r="E94" s="20">
        <f>F82</f>
        <v>0.13800000000000001</v>
      </c>
      <c r="F94" s="46">
        <f>-F92-F93</f>
        <v>0.26200000000000001</v>
      </c>
      <c r="G94" s="45">
        <f>SUM(E94:F94)</f>
        <v>0.4</v>
      </c>
      <c r="H94" s="56">
        <f>SUM(H92:H93)</f>
        <v>-0.26200000000000001</v>
      </c>
      <c r="I94" s="56">
        <f>SUM(I92:I93)</f>
        <v>-0.13800000000000001</v>
      </c>
      <c r="J94" s="56"/>
      <c r="K94" s="57">
        <f>SUM(K92:K93)</f>
        <v>-0.4</v>
      </c>
      <c r="N94" s="78" t="s">
        <v>93</v>
      </c>
    </row>
    <row r="95" spans="4:26" ht="15.75" thickTop="1" x14ac:dyDescent="0.25">
      <c r="N95" s="70"/>
      <c r="O95" s="79" t="s">
        <v>75</v>
      </c>
      <c r="P95" s="79"/>
      <c r="Q95" s="80"/>
      <c r="R95" s="81"/>
      <c r="S95" s="72"/>
      <c r="T95" s="73"/>
    </row>
    <row r="96" spans="4:26" x14ac:dyDescent="0.25">
      <c r="E96" t="s">
        <v>65</v>
      </c>
      <c r="F96" t="s">
        <v>48</v>
      </c>
      <c r="G96" s="1" t="s">
        <v>52</v>
      </c>
      <c r="H96" t="s">
        <v>49</v>
      </c>
      <c r="I96" s="18">
        <v>0.34</v>
      </c>
      <c r="J96" s="18" t="s">
        <v>66</v>
      </c>
      <c r="N96" s="74"/>
      <c r="O96" s="69">
        <v>0.6</v>
      </c>
      <c r="P96" s="69">
        <v>1</v>
      </c>
      <c r="T96" s="75"/>
      <c r="V96" t="s">
        <v>100</v>
      </c>
      <c r="W96" s="9">
        <f>-O97</f>
        <v>-472.60089006928411</v>
      </c>
    </row>
    <row r="97" spans="2:25" x14ac:dyDescent="0.25">
      <c r="B97" t="s">
        <v>33</v>
      </c>
      <c r="D97" s="20">
        <f>F92</f>
        <v>-0.13100000000000001</v>
      </c>
      <c r="E97" s="8">
        <f>E49</f>
        <v>119.744</v>
      </c>
      <c r="F97" s="65">
        <f>E97*D97</f>
        <v>-15.686464000000001</v>
      </c>
      <c r="G97">
        <v>600</v>
      </c>
      <c r="H97" s="28">
        <f>G97+F97</f>
        <v>584.313536</v>
      </c>
      <c r="I97" s="65">
        <f>H97*I96</f>
        <v>198.66660224</v>
      </c>
      <c r="J97" s="28">
        <f>G97-I97</f>
        <v>401.33339776000003</v>
      </c>
      <c r="K97" s="59">
        <f>J97/H97</f>
        <v>0.68684597058521679</v>
      </c>
      <c r="N97" s="74" t="s">
        <v>94</v>
      </c>
      <c r="O97" s="9">
        <f>(O80+O79)*O96</f>
        <v>472.60089006928411</v>
      </c>
      <c r="P97" s="9">
        <f>(O80+O79)</f>
        <v>787.66815011547351</v>
      </c>
      <c r="Q97" s="9"/>
      <c r="R97" s="9"/>
      <c r="S97" s="91"/>
      <c r="T97" s="75"/>
      <c r="W97" s="102">
        <f>-O99</f>
        <v>-3060.1991099307156</v>
      </c>
      <c r="X97" s="9">
        <f>W98+W96</f>
        <v>527.39910993071589</v>
      </c>
      <c r="Y97" t="s">
        <v>105</v>
      </c>
    </row>
    <row r="98" spans="2:25" x14ac:dyDescent="0.25">
      <c r="B98" t="s">
        <v>18</v>
      </c>
      <c r="D98" s="20">
        <f>F93</f>
        <v>-0.13100000000000001</v>
      </c>
      <c r="E98" s="8">
        <f>E97</f>
        <v>119.744</v>
      </c>
      <c r="F98" s="65">
        <f>E98*D98</f>
        <v>-15.686464000000001</v>
      </c>
      <c r="G98">
        <f>G97</f>
        <v>600</v>
      </c>
      <c r="H98" s="28">
        <f>G98+F98</f>
        <v>584.313536</v>
      </c>
      <c r="I98" s="65">
        <f>H98*I96</f>
        <v>198.66660224</v>
      </c>
      <c r="J98" s="28">
        <f>G98-I98</f>
        <v>401.33339776000003</v>
      </c>
      <c r="K98" s="59">
        <f>J98/H98</f>
        <v>0.68684597058521679</v>
      </c>
      <c r="P98"/>
      <c r="Q98" s="9"/>
      <c r="R98" s="9"/>
      <c r="S98" s="91"/>
      <c r="T98" s="75"/>
      <c r="V98" t="s">
        <v>101</v>
      </c>
      <c r="W98" s="9">
        <f>W78</f>
        <v>1000</v>
      </c>
      <c r="X98" s="10">
        <f>X97*34%</f>
        <v>179.31569737644341</v>
      </c>
      <c r="Y98" t="s">
        <v>106</v>
      </c>
    </row>
    <row r="99" spans="2:25" x14ac:dyDescent="0.25">
      <c r="I99" s="83">
        <v>0.1</v>
      </c>
      <c r="N99" s="74" t="s">
        <v>95</v>
      </c>
      <c r="O99" s="102">
        <f>O90*O96-O97</f>
        <v>3060.1991099307156</v>
      </c>
      <c r="P99" s="102">
        <f>O90-P97</f>
        <v>5100.3318498845265</v>
      </c>
      <c r="Q99" s="9"/>
      <c r="R99" s="9"/>
      <c r="S99" s="91"/>
      <c r="T99" s="75"/>
      <c r="V99" s="4" t="s">
        <v>102</v>
      </c>
      <c r="W99" s="10">
        <f>SUM(W96:W98)</f>
        <v>-2532.7999999999997</v>
      </c>
      <c r="X99" s="102">
        <f>W101</f>
        <v>1040.4676973764433</v>
      </c>
      <c r="Y99" t="s">
        <v>103</v>
      </c>
    </row>
    <row r="100" spans="2:25" ht="15.75" thickBot="1" x14ac:dyDescent="0.3">
      <c r="F100" s="28">
        <f>F97+F98</f>
        <v>-31.372928000000002</v>
      </c>
      <c r="H100" s="28">
        <f>J97</f>
        <v>401.33339776000003</v>
      </c>
      <c r="I100" s="65">
        <f>H100*$I$99</f>
        <v>40.133339776000007</v>
      </c>
      <c r="J100" s="28">
        <f>H100-I100</f>
        <v>361.20005798400001</v>
      </c>
      <c r="K100" s="59">
        <f>J100/G97</f>
        <v>0.60200009663999998</v>
      </c>
      <c r="N100" s="76" t="s">
        <v>81</v>
      </c>
      <c r="O100" s="77">
        <f>SUM(O97:O99)</f>
        <v>3532.7999999999997</v>
      </c>
      <c r="P100" s="77">
        <f>SUM(P97:P99)</f>
        <v>5888</v>
      </c>
      <c r="Q100" s="77"/>
      <c r="R100" s="77"/>
      <c r="S100" s="92"/>
      <c r="T100" s="93"/>
      <c r="V100" s="104" t="s">
        <v>104</v>
      </c>
      <c r="W100" s="9">
        <f>W99*34%</f>
        <v>-861.15199999999993</v>
      </c>
      <c r="X100" s="9">
        <f>X98+X99</f>
        <v>1219.7833947528868</v>
      </c>
    </row>
    <row r="101" spans="2:25" x14ac:dyDescent="0.25">
      <c r="H101" s="28">
        <f>J98</f>
        <v>401.33339776000003</v>
      </c>
      <c r="I101" s="65">
        <f>H101*$I$99</f>
        <v>40.133339776000007</v>
      </c>
      <c r="J101" s="28">
        <f>H101-I101</f>
        <v>361.20005798400001</v>
      </c>
      <c r="K101" s="59">
        <f>J101/G98</f>
        <v>0.60200009663999998</v>
      </c>
      <c r="V101" s="53" t="s">
        <v>103</v>
      </c>
      <c r="W101" s="102">
        <f>-W97*34%</f>
        <v>1040.4676973764433</v>
      </c>
    </row>
    <row r="102" spans="2:25" x14ac:dyDescent="0.25">
      <c r="H102" s="28"/>
      <c r="I102" s="28"/>
      <c r="J102" s="28"/>
      <c r="K102" s="59"/>
      <c r="W102" s="105">
        <f>W100+W101</f>
        <v>179.31569737644338</v>
      </c>
    </row>
    <row r="103" spans="2:25" x14ac:dyDescent="0.25">
      <c r="H103" s="28"/>
      <c r="I103" s="28"/>
      <c r="J103" s="28"/>
      <c r="K103" s="59"/>
    </row>
    <row r="104" spans="2:25" x14ac:dyDescent="0.25">
      <c r="H104" s="28"/>
      <c r="I104" s="28"/>
      <c r="J104" s="28"/>
      <c r="K104" s="59"/>
    </row>
    <row r="105" spans="2:25" x14ac:dyDescent="0.25">
      <c r="H105" s="28"/>
      <c r="I105" s="28"/>
      <c r="J105" s="28"/>
      <c r="K105" s="59"/>
    </row>
    <row r="111" spans="2:25" s="63" customFormat="1" ht="8.4499999999999993" customHeight="1" x14ac:dyDescent="0.25">
      <c r="P111" s="64"/>
    </row>
    <row r="113" spans="6:9" x14ac:dyDescent="0.25">
      <c r="H113" s="3" t="s">
        <v>67</v>
      </c>
      <c r="I113" s="3" t="s">
        <v>68</v>
      </c>
    </row>
    <row r="114" spans="6:9" ht="15.75" thickBot="1" x14ac:dyDescent="0.3">
      <c r="G114" t="s">
        <v>69</v>
      </c>
      <c r="H114" s="60">
        <f>J100</f>
        <v>361.20005798400001</v>
      </c>
      <c r="I114" s="60">
        <f>J97</f>
        <v>401.33339776000003</v>
      </c>
    </row>
    <row r="115" spans="6:9" ht="15.75" thickTop="1" x14ac:dyDescent="0.25">
      <c r="G115" s="18">
        <v>0.12</v>
      </c>
    </row>
    <row r="116" spans="6:9" x14ac:dyDescent="0.25">
      <c r="G116">
        <v>100</v>
      </c>
      <c r="I116" s="28">
        <f>I114*(1+G115*1)-I114</f>
        <v>48.160007731200039</v>
      </c>
    </row>
    <row r="117" spans="6:9" x14ac:dyDescent="0.25">
      <c r="G117">
        <v>105</v>
      </c>
      <c r="H117" s="61">
        <f>((H114*(1+G115)*1.05))-H114</f>
        <v>63.571210205184059</v>
      </c>
      <c r="I117" s="62"/>
    </row>
    <row r="118" spans="6:9" x14ac:dyDescent="0.25">
      <c r="H118" s="28">
        <f>SUM(H115:H117)</f>
        <v>63.571210205184059</v>
      </c>
      <c r="I118" s="28">
        <f>SUM(I115:I117)</f>
        <v>48.160007731200039</v>
      </c>
    </row>
    <row r="119" spans="6:9" x14ac:dyDescent="0.25">
      <c r="F119" t="s">
        <v>70</v>
      </c>
      <c r="G119" s="18">
        <v>0.34</v>
      </c>
      <c r="H119" s="28"/>
      <c r="I119" s="28">
        <f>-I118*G119</f>
        <v>-16.374402628608014</v>
      </c>
    </row>
    <row r="120" spans="6:9" x14ac:dyDescent="0.25">
      <c r="G120" s="18">
        <v>0.27</v>
      </c>
      <c r="H120" s="61">
        <f>-H118*G120</f>
        <v>-17.164226755399696</v>
      </c>
      <c r="I120" s="61"/>
    </row>
    <row r="121" spans="6:9" x14ac:dyDescent="0.25">
      <c r="H121" s="28">
        <f>SUM(H118:H120)</f>
        <v>46.406983449784363</v>
      </c>
      <c r="I121" s="28">
        <f>SUM(I118:I120)</f>
        <v>31.785605102592026</v>
      </c>
    </row>
    <row r="122" spans="6:9" x14ac:dyDescent="0.25">
      <c r="G122" t="s">
        <v>71</v>
      </c>
    </row>
    <row r="123" spans="6:9" x14ac:dyDescent="0.25">
      <c r="G123">
        <v>1</v>
      </c>
      <c r="H123" s="28">
        <f>H114+H121</f>
        <v>407.60704143378439</v>
      </c>
      <c r="I123" s="28">
        <f>I114+I121</f>
        <v>433.11900286259203</v>
      </c>
    </row>
    <row r="126" spans="6:9" x14ac:dyDescent="0.25">
      <c r="H126" s="3" t="s">
        <v>67</v>
      </c>
      <c r="I126" s="3" t="s">
        <v>68</v>
      </c>
    </row>
    <row r="127" spans="6:9" ht="15.75" thickBot="1" x14ac:dyDescent="0.3">
      <c r="G127" t="s">
        <v>69</v>
      </c>
      <c r="H127" s="60">
        <f>H123</f>
        <v>407.60704143378439</v>
      </c>
      <c r="I127" s="60">
        <f>I123</f>
        <v>433.11900286259203</v>
      </c>
    </row>
    <row r="128" spans="6:9" ht="15.75" thickTop="1" x14ac:dyDescent="0.25">
      <c r="G128" s="18">
        <v>0.12</v>
      </c>
    </row>
    <row r="129" spans="7:9" x14ac:dyDescent="0.25">
      <c r="G129">
        <v>100</v>
      </c>
      <c r="I129" s="28">
        <f>I127*(1+G128*1)-I127</f>
        <v>51.974280343511111</v>
      </c>
    </row>
    <row r="130" spans="7:9" x14ac:dyDescent="0.25">
      <c r="G130">
        <v>105</v>
      </c>
      <c r="H130" s="61">
        <f>((H127*(1+G128)*1.05))-H127</f>
        <v>71.738839292346142</v>
      </c>
      <c r="I130" s="62"/>
    </row>
    <row r="131" spans="7:9" x14ac:dyDescent="0.25">
      <c r="H131" s="28">
        <f>SUM(H128:H130)</f>
        <v>71.738839292346142</v>
      </c>
      <c r="I131" s="28">
        <f>SUM(I128:I130)</f>
        <v>51.974280343511111</v>
      </c>
    </row>
    <row r="132" spans="7:9" x14ac:dyDescent="0.25">
      <c r="G132" s="18">
        <v>0.34</v>
      </c>
      <c r="H132" s="28"/>
      <c r="I132" s="28">
        <f>-I131*G132</f>
        <v>-17.671255316793779</v>
      </c>
    </row>
    <row r="133" spans="7:9" x14ac:dyDescent="0.25">
      <c r="G133" s="18">
        <v>0.27</v>
      </c>
      <c r="H133" s="61">
        <f>-H131*G133</f>
        <v>-19.36948660893346</v>
      </c>
      <c r="I133" s="61"/>
    </row>
    <row r="134" spans="7:9" x14ac:dyDescent="0.25">
      <c r="H134" s="28">
        <f>SUM(H131:H133)</f>
        <v>52.369352683412686</v>
      </c>
      <c r="I134" s="28">
        <f>SUM(I131:I133)</f>
        <v>34.303025026717336</v>
      </c>
    </row>
    <row r="135" spans="7:9" x14ac:dyDescent="0.25">
      <c r="G135" t="s">
        <v>71</v>
      </c>
    </row>
    <row r="136" spans="7:9" x14ac:dyDescent="0.25">
      <c r="G136">
        <v>2</v>
      </c>
      <c r="H136" s="28">
        <f>H127+H134</f>
        <v>459.97639411719706</v>
      </c>
      <c r="I136" s="28">
        <f>I127+I134</f>
        <v>467.42202788930933</v>
      </c>
    </row>
  </sheetData>
  <mergeCells count="5">
    <mergeCell ref="D4:O4"/>
    <mergeCell ref="G33:I33"/>
    <mergeCell ref="D39:O39"/>
    <mergeCell ref="Z76:AA76"/>
    <mergeCell ref="X76:Y76"/>
  </mergeCells>
  <pageMargins left="0.51181102362204722" right="0.51181102362204722" top="0.78740157480314965" bottom="0.78740157480314965" header="0.31496062992125984" footer="0.31496062992125984"/>
  <pageSetup paperSize="9" scale="31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3E100-211D-42EE-B2CC-38DC6187D9FD}">
  <sheetPr>
    <pageSetUpPr fitToPage="1"/>
  </sheetPr>
  <dimension ref="A1:P98"/>
  <sheetViews>
    <sheetView topLeftCell="A9" zoomScale="80" zoomScaleNormal="80" workbookViewId="0">
      <selection activeCell="E56" sqref="E56"/>
    </sheetView>
  </sheetViews>
  <sheetFormatPr defaultRowHeight="15" x14ac:dyDescent="0.25"/>
  <cols>
    <col min="3" max="3" width="2.5703125" customWidth="1"/>
    <col min="4" max="4" width="22.7109375" customWidth="1"/>
    <col min="5" max="5" width="10.5703125" customWidth="1"/>
    <col min="7" max="7" width="25.85546875" customWidth="1"/>
    <col min="8" max="8" width="10.42578125" customWidth="1"/>
    <col min="9" max="9" width="11.28515625" customWidth="1"/>
    <col min="10" max="10" width="33.28515625" customWidth="1"/>
    <col min="11" max="11" width="12.28515625" customWidth="1"/>
    <col min="12" max="12" width="2.5703125" customWidth="1"/>
    <col min="13" max="13" width="33.28515625" customWidth="1"/>
    <col min="14" max="14" width="16" customWidth="1"/>
    <col min="15" max="15" width="9.140625" style="26"/>
    <col min="16" max="16" width="11.42578125" customWidth="1"/>
  </cols>
  <sheetData>
    <row r="1" spans="1:15" x14ac:dyDescent="0.25">
      <c r="A1" s="4" t="s">
        <v>0</v>
      </c>
    </row>
    <row r="2" spans="1:15" x14ac:dyDescent="0.25">
      <c r="A2" t="s">
        <v>1</v>
      </c>
    </row>
    <row r="3" spans="1:15" x14ac:dyDescent="0.25">
      <c r="A3" t="s">
        <v>3</v>
      </c>
    </row>
    <row r="4" spans="1:15" ht="15.75" thickBot="1" x14ac:dyDescent="0.3">
      <c r="D4" s="94" t="s">
        <v>20</v>
      </c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5" ht="18.75" x14ac:dyDescent="0.3">
      <c r="D5" s="5" t="s">
        <v>2</v>
      </c>
      <c r="G5" s="5" t="s">
        <v>18</v>
      </c>
      <c r="J5" s="5" t="s">
        <v>19</v>
      </c>
      <c r="M5" s="5" t="s">
        <v>1</v>
      </c>
    </row>
    <row r="7" spans="1:15" x14ac:dyDescent="0.25">
      <c r="D7" s="2" t="s">
        <v>4</v>
      </c>
      <c r="E7" s="24">
        <f>E8+E13</f>
        <v>179.744</v>
      </c>
      <c r="G7" s="2" t="s">
        <v>4</v>
      </c>
      <c r="H7" s="24">
        <f>H8+H13</f>
        <v>179.744</v>
      </c>
      <c r="J7" s="2" t="s">
        <v>4</v>
      </c>
      <c r="K7" s="11">
        <f>K8+K15</f>
        <v>26138.03</v>
      </c>
      <c r="M7" s="2" t="s">
        <v>4</v>
      </c>
      <c r="N7" s="11">
        <f>N8+N15</f>
        <v>17611.435000000001</v>
      </c>
      <c r="O7" s="27"/>
    </row>
    <row r="8" spans="1:15" x14ac:dyDescent="0.25">
      <c r="D8" s="2" t="s">
        <v>8</v>
      </c>
      <c r="G8" s="2" t="s">
        <v>8</v>
      </c>
      <c r="J8" s="2" t="s">
        <v>8</v>
      </c>
      <c r="K8" s="7">
        <f>SUM(K9:K12)</f>
        <v>2323.9659999999999</v>
      </c>
      <c r="M8" s="2" t="s">
        <v>8</v>
      </c>
      <c r="N8" s="7">
        <f>SUM(N9:N12)</f>
        <v>1300.2800000000011</v>
      </c>
    </row>
    <row r="9" spans="1:15" x14ac:dyDescent="0.25">
      <c r="D9" t="s">
        <v>11</v>
      </c>
      <c r="G9" t="s">
        <v>11</v>
      </c>
      <c r="J9" t="s">
        <v>30</v>
      </c>
      <c r="K9" s="8">
        <f>2265.98-1937.402</f>
        <v>328.57799999999997</v>
      </c>
      <c r="M9" t="s">
        <v>30</v>
      </c>
      <c r="N9" s="8">
        <f>17231.437-16311.155-17.517-198.838+380-138.693</f>
        <v>945.23400000000106</v>
      </c>
    </row>
    <row r="10" spans="1:15" x14ac:dyDescent="0.25">
      <c r="D10" t="s">
        <v>5</v>
      </c>
      <c r="G10" t="s">
        <v>5</v>
      </c>
      <c r="J10" t="s">
        <v>5</v>
      </c>
      <c r="K10" s="8"/>
      <c r="M10" t="s">
        <v>5</v>
      </c>
      <c r="N10" s="8"/>
    </row>
    <row r="11" spans="1:15" x14ac:dyDescent="0.25">
      <c r="J11" t="s">
        <v>12</v>
      </c>
      <c r="K11" s="8">
        <v>1937.402</v>
      </c>
      <c r="M11" t="s">
        <v>12</v>
      </c>
      <c r="N11" s="8">
        <f>17.517+198.836</f>
        <v>216.35300000000001</v>
      </c>
    </row>
    <row r="12" spans="1:15" x14ac:dyDescent="0.25">
      <c r="D12" t="s">
        <v>6</v>
      </c>
      <c r="G12" t="s">
        <v>6</v>
      </c>
      <c r="J12" t="s">
        <v>6</v>
      </c>
      <c r="K12" s="8">
        <v>57.985999999999997</v>
      </c>
      <c r="M12" t="s">
        <v>6</v>
      </c>
      <c r="N12" s="8">
        <v>138.69300000000001</v>
      </c>
    </row>
    <row r="13" spans="1:15" x14ac:dyDescent="0.25">
      <c r="D13" s="2" t="s">
        <v>8</v>
      </c>
      <c r="E13" s="10">
        <f>SUM(E14)</f>
        <v>179.744</v>
      </c>
      <c r="G13" s="2" t="s">
        <v>8</v>
      </c>
      <c r="H13" s="10">
        <f>SUM(H14)</f>
        <v>179.744</v>
      </c>
      <c r="J13" s="2"/>
      <c r="K13" s="8"/>
      <c r="M13" s="2"/>
      <c r="N13" s="8"/>
    </row>
    <row r="14" spans="1:15" x14ac:dyDescent="0.25">
      <c r="D14" t="s">
        <v>7</v>
      </c>
      <c r="E14" s="25">
        <f>K27/2</f>
        <v>179.744</v>
      </c>
      <c r="G14" t="s">
        <v>7</v>
      </c>
      <c r="H14" s="25">
        <f>K27/2</f>
        <v>179.744</v>
      </c>
      <c r="K14" s="8"/>
      <c r="N14" s="8"/>
    </row>
    <row r="15" spans="1:15" x14ac:dyDescent="0.25">
      <c r="D15" s="2"/>
      <c r="G15" s="2"/>
      <c r="J15" s="2" t="s">
        <v>9</v>
      </c>
      <c r="K15" s="7">
        <v>23814.063999999998</v>
      </c>
      <c r="M15" s="2" t="s">
        <v>9</v>
      </c>
      <c r="N15" s="7">
        <v>16311.155000000001</v>
      </c>
    </row>
    <row r="16" spans="1:15" x14ac:dyDescent="0.25">
      <c r="K16" s="8"/>
      <c r="N16" s="8"/>
    </row>
    <row r="17" spans="4:16" x14ac:dyDescent="0.25">
      <c r="K17" s="8"/>
      <c r="N17" s="8"/>
    </row>
    <row r="18" spans="4:16" x14ac:dyDescent="0.25">
      <c r="D18" s="2" t="s">
        <v>17</v>
      </c>
      <c r="E18" s="4">
        <f>E19+E27</f>
        <v>179.744</v>
      </c>
      <c r="G18" s="2" t="s">
        <v>17</v>
      </c>
      <c r="H18" s="4">
        <f>H19+H27</f>
        <v>179.744</v>
      </c>
      <c r="J18" s="2" t="s">
        <v>17</v>
      </c>
      <c r="K18" s="11">
        <f>K19+K27</f>
        <v>26138.37</v>
      </c>
      <c r="M18" s="2" t="s">
        <v>17</v>
      </c>
      <c r="N18" s="11">
        <f>N19+N27</f>
        <v>17610.591000000004</v>
      </c>
      <c r="O18" s="27"/>
    </row>
    <row r="19" spans="4:16" x14ac:dyDescent="0.25">
      <c r="D19" s="2" t="s">
        <v>10</v>
      </c>
      <c r="E19" s="4">
        <f>E20</f>
        <v>0</v>
      </c>
      <c r="G19" s="2" t="s">
        <v>10</v>
      </c>
      <c r="H19">
        <f>H20</f>
        <v>0</v>
      </c>
      <c r="J19" s="2" t="s">
        <v>10</v>
      </c>
      <c r="K19" s="7">
        <f>K20+K24</f>
        <v>25778.881999999998</v>
      </c>
      <c r="M19" s="2" t="s">
        <v>10</v>
      </c>
      <c r="N19" s="7">
        <f>N20+N24</f>
        <v>16771.856000000003</v>
      </c>
    </row>
    <row r="20" spans="4:16" x14ac:dyDescent="0.25">
      <c r="D20" s="2" t="s">
        <v>8</v>
      </c>
      <c r="E20">
        <f>SUM(E21:E22)</f>
        <v>0</v>
      </c>
      <c r="G20" s="2" t="s">
        <v>8</v>
      </c>
      <c r="H20">
        <f>H21</f>
        <v>0</v>
      </c>
      <c r="J20" s="2" t="s">
        <v>8</v>
      </c>
      <c r="K20" s="7">
        <f>SUM(K21:K22)</f>
        <v>1964.818</v>
      </c>
      <c r="M20" s="2" t="s">
        <v>8</v>
      </c>
      <c r="N20" s="7">
        <f>SUM(N21:N22)</f>
        <v>460.70100000000173</v>
      </c>
    </row>
    <row r="21" spans="4:16" x14ac:dyDescent="0.25">
      <c r="D21" t="s">
        <v>11</v>
      </c>
      <c r="G21" t="s">
        <v>11</v>
      </c>
      <c r="J21" t="s">
        <v>11</v>
      </c>
      <c r="K21" s="8">
        <f>1964.818-1544.758</f>
        <v>420.05999999999995</v>
      </c>
      <c r="M21" t="s">
        <v>11</v>
      </c>
      <c r="N21" s="8">
        <f>17231.437-16311-227.944-458.736-1</f>
        <v>232.75700000000177</v>
      </c>
    </row>
    <row r="22" spans="4:16" x14ac:dyDescent="0.25">
      <c r="J22" t="s">
        <v>12</v>
      </c>
      <c r="K22" s="8">
        <v>1544.758</v>
      </c>
      <c r="M22" t="s">
        <v>12</v>
      </c>
      <c r="N22" s="8">
        <v>227.94399999999999</v>
      </c>
    </row>
    <row r="23" spans="4:16" x14ac:dyDescent="0.25">
      <c r="K23" s="8"/>
      <c r="N23" s="8"/>
    </row>
    <row r="24" spans="4:16" ht="15.75" thickBot="1" x14ac:dyDescent="0.3">
      <c r="D24" s="2"/>
      <c r="G24" s="2"/>
      <c r="J24" s="2" t="s">
        <v>9</v>
      </c>
      <c r="K24" s="7">
        <f>K15</f>
        <v>23814.063999999998</v>
      </c>
      <c r="M24" s="2" t="s">
        <v>9</v>
      </c>
      <c r="N24" s="7">
        <f>N15</f>
        <v>16311.155000000001</v>
      </c>
      <c r="P24" s="3" t="s">
        <v>51</v>
      </c>
    </row>
    <row r="25" spans="4:16" x14ac:dyDescent="0.25">
      <c r="K25" s="8"/>
      <c r="N25" s="8"/>
      <c r="O25" s="51" t="s">
        <v>50</v>
      </c>
      <c r="P25" s="18">
        <v>0.34</v>
      </c>
    </row>
    <row r="26" spans="4:16" ht="15.75" thickBot="1" x14ac:dyDescent="0.3">
      <c r="J26" s="20">
        <f>H71</f>
        <v>0.13800000000000001</v>
      </c>
      <c r="K26" s="8">
        <f>K27*J26</f>
        <v>49.609344000000007</v>
      </c>
      <c r="N26" s="8">
        <f>N27-K26</f>
        <v>789.12565600000005</v>
      </c>
      <c r="O26" s="52">
        <f>N26</f>
        <v>789.12565600000005</v>
      </c>
      <c r="P26" s="9">
        <f>O26*P25</f>
        <v>268.30272304000005</v>
      </c>
    </row>
    <row r="27" spans="4:16" x14ac:dyDescent="0.25">
      <c r="D27" s="2" t="s">
        <v>13</v>
      </c>
      <c r="E27" s="47">
        <f>SUM(E28:E30)</f>
        <v>179.744</v>
      </c>
      <c r="G27" s="2" t="s">
        <v>13</v>
      </c>
      <c r="H27" s="47">
        <f>SUM(H28:H30)</f>
        <v>179.744</v>
      </c>
      <c r="J27" s="2" t="s">
        <v>13</v>
      </c>
      <c r="K27" s="32">
        <f>SUM(K28:K29)</f>
        <v>359.488</v>
      </c>
      <c r="M27" s="2" t="s">
        <v>13</v>
      </c>
      <c r="N27" s="34">
        <f>SUM(N28:N29)</f>
        <v>838.73500000000001</v>
      </c>
    </row>
    <row r="28" spans="4:16" x14ac:dyDescent="0.25">
      <c r="D28" t="s">
        <v>15</v>
      </c>
      <c r="E28" s="9">
        <f>E14</f>
        <v>179.744</v>
      </c>
      <c r="G28" t="s">
        <v>15</v>
      </c>
      <c r="H28" s="9">
        <f>H14</f>
        <v>179.744</v>
      </c>
      <c r="J28" t="s">
        <v>15</v>
      </c>
      <c r="K28" s="8">
        <v>85</v>
      </c>
      <c r="M28" t="s">
        <v>15</v>
      </c>
      <c r="N28" s="8">
        <f>139+380</f>
        <v>519</v>
      </c>
    </row>
    <row r="29" spans="4:16" x14ac:dyDescent="0.25">
      <c r="D29" t="s">
        <v>16</v>
      </c>
      <c r="G29" t="s">
        <v>16</v>
      </c>
      <c r="J29" t="s">
        <v>16</v>
      </c>
      <c r="K29" s="8">
        <f>268.488+6</f>
        <v>274.488</v>
      </c>
      <c r="M29" t="s">
        <v>16</v>
      </c>
      <c r="N29" s="8">
        <f>251.958+67.777</f>
        <v>319.73500000000001</v>
      </c>
    </row>
    <row r="30" spans="4:16" x14ac:dyDescent="0.25">
      <c r="D30" t="s">
        <v>14</v>
      </c>
      <c r="G30" t="s">
        <v>14</v>
      </c>
      <c r="J30" t="s">
        <v>14</v>
      </c>
      <c r="K30" s="8"/>
      <c r="M30" t="s">
        <v>14</v>
      </c>
    </row>
    <row r="33" spans="4:14" ht="15.75" thickBot="1" x14ac:dyDescent="0.3">
      <c r="G33" s="95" t="s">
        <v>27</v>
      </c>
      <c r="H33" s="95"/>
      <c r="I33" s="95"/>
    </row>
    <row r="34" spans="4:14" x14ac:dyDescent="0.25">
      <c r="G34" t="s">
        <v>28</v>
      </c>
      <c r="H34" s="9">
        <f>K27</f>
        <v>359.488</v>
      </c>
      <c r="I34" s="19">
        <f t="shared" ref="I34:I35" si="0">H34/H$36</f>
        <v>0.30001760940993455</v>
      </c>
    </row>
    <row r="35" spans="4:14" x14ac:dyDescent="0.25">
      <c r="G35" t="s">
        <v>1</v>
      </c>
      <c r="H35" s="9">
        <f>N27</f>
        <v>838.73500000000001</v>
      </c>
      <c r="I35" s="19">
        <f t="shared" si="0"/>
        <v>0.69998239059006551</v>
      </c>
      <c r="J35" s="53">
        <v>13.8</v>
      </c>
    </row>
    <row r="36" spans="4:14" ht="15.75" thickBot="1" x14ac:dyDescent="0.3">
      <c r="G36" s="1" t="s">
        <v>29</v>
      </c>
      <c r="H36" s="22">
        <f>SUM(H34:H35)</f>
        <v>1198.223</v>
      </c>
      <c r="I36" s="23">
        <f>H36/H$36</f>
        <v>1</v>
      </c>
    </row>
    <row r="37" spans="4:14" ht="15.75" thickTop="1" x14ac:dyDescent="0.25"/>
    <row r="39" spans="4:14" ht="15.75" thickBot="1" x14ac:dyDescent="0.3">
      <c r="D39" s="94" t="s">
        <v>21</v>
      </c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4:14" ht="18.75" x14ac:dyDescent="0.3">
      <c r="D40" s="5" t="s">
        <v>2</v>
      </c>
      <c r="G40" s="5" t="s">
        <v>18</v>
      </c>
      <c r="J40" s="5" t="s">
        <v>19</v>
      </c>
      <c r="M40" s="5" t="s">
        <v>1</v>
      </c>
    </row>
    <row r="41" spans="4:14" x14ac:dyDescent="0.25">
      <c r="K41" s="9">
        <f>K42-K7-N7</f>
        <v>0</v>
      </c>
    </row>
    <row r="42" spans="4:14" x14ac:dyDescent="0.25">
      <c r="D42" s="2" t="s">
        <v>4</v>
      </c>
      <c r="E42" s="21">
        <f>E43+E48</f>
        <v>516.43411300000002</v>
      </c>
      <c r="G42" s="2" t="s">
        <v>4</v>
      </c>
      <c r="H42" s="21">
        <f>H43+H48</f>
        <v>516.43411300000002</v>
      </c>
      <c r="J42" s="2" t="s">
        <v>4</v>
      </c>
      <c r="K42" s="7">
        <f>K43+K50</f>
        <v>43749.464999999997</v>
      </c>
      <c r="M42" s="2" t="s">
        <v>4</v>
      </c>
      <c r="N42" s="7"/>
    </row>
    <row r="43" spans="4:14" x14ac:dyDescent="0.25">
      <c r="D43" s="2" t="s">
        <v>8</v>
      </c>
      <c r="G43" s="2" t="s">
        <v>8</v>
      </c>
      <c r="J43" s="2" t="s">
        <v>8</v>
      </c>
      <c r="K43" s="7">
        <f>SUM(K44:K47)</f>
        <v>3624.246000000001</v>
      </c>
      <c r="M43" s="2" t="s">
        <v>8</v>
      </c>
      <c r="N43" s="7">
        <f>SUM(N44:N46)</f>
        <v>0</v>
      </c>
    </row>
    <row r="44" spans="4:14" x14ac:dyDescent="0.25">
      <c r="D44" t="s">
        <v>11</v>
      </c>
      <c r="G44" t="s">
        <v>11</v>
      </c>
      <c r="J44" t="s">
        <v>11</v>
      </c>
      <c r="K44" s="8">
        <f>K9+N9</f>
        <v>1273.812000000001</v>
      </c>
      <c r="M44" t="s">
        <v>11</v>
      </c>
      <c r="N44" s="8"/>
    </row>
    <row r="45" spans="4:14" x14ac:dyDescent="0.25">
      <c r="D45" t="s">
        <v>5</v>
      </c>
      <c r="G45" t="s">
        <v>5</v>
      </c>
      <c r="J45" t="s">
        <v>5</v>
      </c>
      <c r="K45" s="8">
        <f>K10+N10</f>
        <v>0</v>
      </c>
      <c r="M45" t="s">
        <v>5</v>
      </c>
      <c r="N45" s="8"/>
    </row>
    <row r="46" spans="4:14" x14ac:dyDescent="0.25">
      <c r="J46" t="s">
        <v>12</v>
      </c>
      <c r="K46" s="8">
        <f>K11+N11</f>
        <v>2153.7550000000001</v>
      </c>
      <c r="M46" t="s">
        <v>12</v>
      </c>
      <c r="N46" s="8"/>
    </row>
    <row r="47" spans="4:14" x14ac:dyDescent="0.25">
      <c r="D47" t="s">
        <v>6</v>
      </c>
      <c r="G47" t="s">
        <v>6</v>
      </c>
      <c r="J47" t="s">
        <v>6</v>
      </c>
      <c r="K47" s="8">
        <f>K12+N12</f>
        <v>196.679</v>
      </c>
      <c r="M47" t="s">
        <v>6</v>
      </c>
      <c r="N47" s="8"/>
    </row>
    <row r="48" spans="4:14" x14ac:dyDescent="0.25">
      <c r="D48" s="2" t="s">
        <v>8</v>
      </c>
      <c r="E48" s="21">
        <f>SUM(E49:E51)</f>
        <v>516.43411300000002</v>
      </c>
      <c r="G48" s="2" t="s">
        <v>8</v>
      </c>
      <c r="H48" s="21">
        <f>SUM(H49:H51)</f>
        <v>516.43411300000002</v>
      </c>
      <c r="J48" s="2" t="s">
        <v>8</v>
      </c>
      <c r="K48" s="8"/>
      <c r="M48" s="2" t="s">
        <v>8</v>
      </c>
      <c r="N48" s="8"/>
    </row>
    <row r="49" spans="4:14" x14ac:dyDescent="0.25">
      <c r="D49" t="s">
        <v>7</v>
      </c>
      <c r="E49" s="33">
        <f>E14</f>
        <v>179.744</v>
      </c>
      <c r="G49" t="s">
        <v>7</v>
      </c>
      <c r="H49" s="33">
        <f>H27</f>
        <v>179.744</v>
      </c>
      <c r="K49" s="8"/>
      <c r="N49" s="8"/>
    </row>
    <row r="50" spans="4:14" x14ac:dyDescent="0.25">
      <c r="D50" t="s">
        <v>24</v>
      </c>
      <c r="E50" s="35">
        <f>N27/2</f>
        <v>419.36750000000001</v>
      </c>
      <c r="G50" t="s">
        <v>24</v>
      </c>
      <c r="H50" s="35">
        <f>N27/2</f>
        <v>419.36750000000001</v>
      </c>
      <c r="J50" s="2" t="s">
        <v>9</v>
      </c>
      <c r="K50" s="7">
        <f>K24+N24</f>
        <v>40125.218999999997</v>
      </c>
      <c r="M50" s="2" t="s">
        <v>9</v>
      </c>
      <c r="N50" s="7"/>
    </row>
    <row r="51" spans="4:14" x14ac:dyDescent="0.25">
      <c r="D51" t="s">
        <v>26</v>
      </c>
      <c r="E51" s="38">
        <f>E66</f>
        <v>-82.67738700000001</v>
      </c>
      <c r="G51" t="s">
        <v>26</v>
      </c>
      <c r="H51" s="38">
        <f>H66</f>
        <v>-82.67738700000001</v>
      </c>
      <c r="K51" s="8"/>
      <c r="N51" s="8"/>
    </row>
    <row r="52" spans="4:14" x14ac:dyDescent="0.25">
      <c r="D52" s="39" t="s">
        <v>39</v>
      </c>
      <c r="E52" s="40">
        <f>E50+E51</f>
        <v>336.690113</v>
      </c>
      <c r="G52" s="39" t="s">
        <v>39</v>
      </c>
      <c r="H52" s="40">
        <f>H50+H51</f>
        <v>336.690113</v>
      </c>
      <c r="K52" s="8"/>
      <c r="N52" s="8"/>
    </row>
    <row r="53" spans="4:14" x14ac:dyDescent="0.25">
      <c r="D53" s="2" t="s">
        <v>17</v>
      </c>
      <c r="E53" s="4">
        <f>E54+E62</f>
        <v>516.43411300000002</v>
      </c>
      <c r="G53" s="2" t="s">
        <v>17</v>
      </c>
      <c r="H53" s="4">
        <f>H54+H62</f>
        <v>516.43411300000002</v>
      </c>
      <c r="J53" s="2" t="s">
        <v>17</v>
      </c>
      <c r="K53" s="7">
        <f>K54+K62</f>
        <v>43748.960999999996</v>
      </c>
      <c r="M53" s="2" t="s">
        <v>17</v>
      </c>
      <c r="N53" s="7">
        <f>N54+N62</f>
        <v>0</v>
      </c>
    </row>
    <row r="54" spans="4:14" x14ac:dyDescent="0.25">
      <c r="D54" s="2" t="s">
        <v>10</v>
      </c>
      <c r="E54" s="4">
        <f>E55</f>
        <v>0</v>
      </c>
      <c r="G54" s="2" t="s">
        <v>10</v>
      </c>
      <c r="H54">
        <f>H55</f>
        <v>0</v>
      </c>
      <c r="J54" s="2" t="s">
        <v>10</v>
      </c>
      <c r="K54" s="7">
        <f>K55+K59</f>
        <v>42550.737999999998</v>
      </c>
      <c r="M54" s="2" t="s">
        <v>10</v>
      </c>
      <c r="N54" s="7">
        <f>N55+N59</f>
        <v>0</v>
      </c>
    </row>
    <row r="55" spans="4:14" x14ac:dyDescent="0.25">
      <c r="D55" s="2" t="s">
        <v>8</v>
      </c>
      <c r="E55">
        <f>SUM(E56:E57)</f>
        <v>0</v>
      </c>
      <c r="G55" s="2" t="s">
        <v>8</v>
      </c>
      <c r="H55">
        <f>H56</f>
        <v>0</v>
      </c>
      <c r="J55" s="2" t="s">
        <v>8</v>
      </c>
      <c r="K55" s="7">
        <f>SUM(K56:K57)</f>
        <v>2425.5190000000016</v>
      </c>
      <c r="M55" s="2" t="s">
        <v>8</v>
      </c>
      <c r="N55" s="7">
        <f>SUM(N56:N57)</f>
        <v>0</v>
      </c>
    </row>
    <row r="56" spans="4:14" x14ac:dyDescent="0.25">
      <c r="D56" t="s">
        <v>11</v>
      </c>
      <c r="G56" t="s">
        <v>11</v>
      </c>
      <c r="J56" t="s">
        <v>11</v>
      </c>
      <c r="K56" s="8">
        <f>K21+N21</f>
        <v>652.81700000000171</v>
      </c>
      <c r="M56" t="s">
        <v>11</v>
      </c>
      <c r="N56" s="8"/>
    </row>
    <row r="57" spans="4:14" x14ac:dyDescent="0.25">
      <c r="J57" t="s">
        <v>12</v>
      </c>
      <c r="K57" s="8">
        <f>K22+N22</f>
        <v>1772.702</v>
      </c>
      <c r="M57" t="s">
        <v>12</v>
      </c>
      <c r="N57" s="8"/>
    </row>
    <row r="58" spans="4:14" x14ac:dyDescent="0.25">
      <c r="K58" s="8"/>
      <c r="N58" s="8"/>
    </row>
    <row r="59" spans="4:14" x14ac:dyDescent="0.25">
      <c r="D59" s="2"/>
      <c r="G59" s="2"/>
      <c r="J59" s="2" t="s">
        <v>9</v>
      </c>
      <c r="K59" s="7">
        <f>K24+N24</f>
        <v>40125.218999999997</v>
      </c>
      <c r="M59" s="2" t="s">
        <v>9</v>
      </c>
      <c r="N59" s="7"/>
    </row>
    <row r="60" spans="4:14" x14ac:dyDescent="0.25">
      <c r="K60" s="8"/>
      <c r="N60" s="8"/>
    </row>
    <row r="61" spans="4:14" x14ac:dyDescent="0.25">
      <c r="K61" s="8">
        <f>K62-K27-N27</f>
        <v>0</v>
      </c>
      <c r="N61" s="8"/>
    </row>
    <row r="62" spans="4:14" x14ac:dyDescent="0.25">
      <c r="D62" s="2" t="s">
        <v>13</v>
      </c>
      <c r="E62" s="4">
        <f>SUM(E63:E66)</f>
        <v>516.43411300000002</v>
      </c>
      <c r="G62" s="2" t="s">
        <v>13</v>
      </c>
      <c r="H62" s="4">
        <f>SUM(H63:H66)</f>
        <v>516.43411300000002</v>
      </c>
      <c r="J62" s="2" t="s">
        <v>13</v>
      </c>
      <c r="K62" s="7">
        <f>SUM(K63:K64)</f>
        <v>1198.223</v>
      </c>
      <c r="M62" s="2" t="s">
        <v>13</v>
      </c>
      <c r="N62" s="7">
        <f>SUM(N63:N64)</f>
        <v>0</v>
      </c>
    </row>
    <row r="63" spans="4:14" x14ac:dyDescent="0.25">
      <c r="D63" t="s">
        <v>15</v>
      </c>
      <c r="E63" s="9">
        <f>E49</f>
        <v>179.744</v>
      </c>
      <c r="G63" t="s">
        <v>15</v>
      </c>
      <c r="H63" s="9">
        <f>H49</f>
        <v>179.744</v>
      </c>
      <c r="J63" t="s">
        <v>15</v>
      </c>
      <c r="K63" s="8">
        <f>K28+N28</f>
        <v>604</v>
      </c>
      <c r="M63" t="s">
        <v>15</v>
      </c>
      <c r="N63" s="8"/>
    </row>
    <row r="64" spans="4:14" ht="15.75" thickBot="1" x14ac:dyDescent="0.3">
      <c r="D64" t="s">
        <v>16</v>
      </c>
      <c r="G64" t="s">
        <v>16</v>
      </c>
      <c r="J64" t="s">
        <v>16</v>
      </c>
      <c r="K64" s="8">
        <f>K29+N29</f>
        <v>594.22299999999996</v>
      </c>
      <c r="M64" t="s">
        <v>16</v>
      </c>
      <c r="N64" s="8"/>
    </row>
    <row r="65" spans="4:14" x14ac:dyDescent="0.25">
      <c r="D65" s="12" t="s">
        <v>25</v>
      </c>
      <c r="E65" s="48">
        <f>N27/2</f>
        <v>419.36750000000001</v>
      </c>
      <c r="G65" s="12" t="s">
        <v>25</v>
      </c>
      <c r="H65" s="48">
        <f>N27/2</f>
        <v>419.36750000000001</v>
      </c>
      <c r="J65" t="s">
        <v>14</v>
      </c>
      <c r="K65" s="8"/>
      <c r="M65" t="s">
        <v>14</v>
      </c>
    </row>
    <row r="66" spans="4:14" ht="15.75" thickBot="1" x14ac:dyDescent="0.3">
      <c r="D66" s="15" t="s">
        <v>26</v>
      </c>
      <c r="E66" s="49">
        <f>-E75</f>
        <v>-82.67738700000001</v>
      </c>
      <c r="G66" s="15" t="s">
        <v>26</v>
      </c>
      <c r="H66" s="49">
        <f>-H75</f>
        <v>-82.67738700000001</v>
      </c>
      <c r="J66" t="s">
        <v>55</v>
      </c>
    </row>
    <row r="67" spans="4:14" x14ac:dyDescent="0.25">
      <c r="D67" s="39" t="s">
        <v>39</v>
      </c>
      <c r="E67" s="40">
        <f>E65+E66</f>
        <v>336.690113</v>
      </c>
      <c r="G67" s="39" t="s">
        <v>39</v>
      </c>
      <c r="H67" s="40">
        <f>H65+H66</f>
        <v>336.690113</v>
      </c>
      <c r="K67" s="8"/>
      <c r="N67" s="8"/>
    </row>
    <row r="68" spans="4:14" ht="15.75" thickBot="1" x14ac:dyDescent="0.3">
      <c r="K68" s="9"/>
    </row>
    <row r="69" spans="4:14" x14ac:dyDescent="0.25">
      <c r="D69" s="12" t="s">
        <v>22</v>
      </c>
      <c r="E69" s="13">
        <f>E62-E27</f>
        <v>336.690113</v>
      </c>
      <c r="F69" s="13"/>
      <c r="G69" s="13"/>
      <c r="H69" s="14">
        <f>H62-H27</f>
        <v>336.690113</v>
      </c>
      <c r="K69" s="9">
        <f>K62</f>
        <v>1198.223</v>
      </c>
    </row>
    <row r="70" spans="4:14" ht="15.75" thickBot="1" x14ac:dyDescent="0.3">
      <c r="D70" s="15"/>
      <c r="E70" s="16"/>
      <c r="F70" s="16"/>
      <c r="G70" s="16"/>
      <c r="H70" s="17">
        <f>E69+H69</f>
        <v>673.38022599999999</v>
      </c>
      <c r="J70" s="20">
        <f>E71</f>
        <v>0.13800000000000001</v>
      </c>
      <c r="K70" s="28">
        <f>K69*J70</f>
        <v>165.35477400000002</v>
      </c>
      <c r="M70" t="s">
        <v>1</v>
      </c>
    </row>
    <row r="71" spans="4:14" x14ac:dyDescent="0.25">
      <c r="D71" t="s">
        <v>23</v>
      </c>
      <c r="E71" s="19">
        <v>0.13800000000000001</v>
      </c>
      <c r="H71" s="20">
        <f>E71</f>
        <v>0.13800000000000001</v>
      </c>
      <c r="J71" s="20">
        <f>1-J70</f>
        <v>0.86199999999999999</v>
      </c>
      <c r="K71" s="28">
        <f>K69*J71</f>
        <v>1032.868226</v>
      </c>
      <c r="M71" t="s">
        <v>35</v>
      </c>
    </row>
    <row r="72" spans="4:14" x14ac:dyDescent="0.25">
      <c r="D72" t="str">
        <f>D49</f>
        <v>Inv. Embracon</v>
      </c>
      <c r="E72" s="33">
        <f>E49</f>
        <v>179.744</v>
      </c>
      <c r="H72" s="20"/>
      <c r="J72" s="20"/>
      <c r="K72" s="28"/>
    </row>
    <row r="73" spans="4:14" x14ac:dyDescent="0.25">
      <c r="D73" t="str">
        <f>D50</f>
        <v>Incorporaçao base</v>
      </c>
      <c r="E73" s="36">
        <f>E50</f>
        <v>419.36750000000001</v>
      </c>
      <c r="K73" t="s">
        <v>36</v>
      </c>
    </row>
    <row r="74" spans="4:14" x14ac:dyDescent="0.25">
      <c r="D74" s="2" t="s">
        <v>31</v>
      </c>
      <c r="E74" s="9">
        <f>SUM(E72:E73)</f>
        <v>599.11149999999998</v>
      </c>
      <c r="G74" s="2" t="s">
        <v>13</v>
      </c>
      <c r="H74" s="9">
        <f>H49+H50</f>
        <v>599.11149999999998</v>
      </c>
      <c r="K74" s="28">
        <f>K71/2</f>
        <v>516.43411300000002</v>
      </c>
    </row>
    <row r="75" spans="4:14" x14ac:dyDescent="0.25">
      <c r="D75" s="1" t="s">
        <v>38</v>
      </c>
      <c r="E75" s="37">
        <f>E74*E71</f>
        <v>82.67738700000001</v>
      </c>
      <c r="H75">
        <f>H74*H71</f>
        <v>82.67738700000001</v>
      </c>
    </row>
    <row r="76" spans="4:14" x14ac:dyDescent="0.25">
      <c r="J76" t="s">
        <v>37</v>
      </c>
      <c r="K76" s="28">
        <f>K70/2</f>
        <v>82.67738700000001</v>
      </c>
    </row>
    <row r="78" spans="4:14" x14ac:dyDescent="0.25">
      <c r="D78" s="44" t="s">
        <v>32</v>
      </c>
    </row>
    <row r="79" spans="4:14" x14ac:dyDescent="0.25">
      <c r="D79" t="s">
        <v>19</v>
      </c>
      <c r="E79" s="29">
        <f>K62</f>
        <v>1198.223</v>
      </c>
      <c r="F79" s="31">
        <f>E79/$E$79</f>
        <v>1</v>
      </c>
      <c r="G79" s="41" t="s">
        <v>40</v>
      </c>
      <c r="H79" s="6">
        <f>E14</f>
        <v>179.744</v>
      </c>
    </row>
    <row r="80" spans="4:14" x14ac:dyDescent="0.25">
      <c r="D80" t="s">
        <v>33</v>
      </c>
      <c r="E80">
        <f>E62</f>
        <v>516.43411300000002</v>
      </c>
      <c r="F80" s="30">
        <f t="shared" ref="F80:F82" si="1">E80/$E$79</f>
        <v>0.43100000000000005</v>
      </c>
      <c r="G80" s="41" t="s">
        <v>40</v>
      </c>
      <c r="H80" s="6">
        <f>H14</f>
        <v>179.744</v>
      </c>
    </row>
    <row r="81" spans="4:9" x14ac:dyDescent="0.25">
      <c r="D81" t="s">
        <v>18</v>
      </c>
      <c r="E81">
        <f>H62</f>
        <v>516.43411300000002</v>
      </c>
      <c r="F81" s="30">
        <f t="shared" si="1"/>
        <v>0.43100000000000005</v>
      </c>
      <c r="G81" s="41" t="s">
        <v>41</v>
      </c>
      <c r="H81" s="6">
        <f>N27</f>
        <v>838.73500000000001</v>
      </c>
    </row>
    <row r="82" spans="4:9" x14ac:dyDescent="0.25">
      <c r="D82" t="s">
        <v>34</v>
      </c>
      <c r="E82" s="50">
        <f>K70</f>
        <v>165.35477400000002</v>
      </c>
      <c r="F82" s="30">
        <f t="shared" si="1"/>
        <v>0.13800000000000001</v>
      </c>
      <c r="G82" s="41" t="s">
        <v>26</v>
      </c>
      <c r="H82" s="6">
        <f>E51</f>
        <v>-82.67738700000001</v>
      </c>
    </row>
    <row r="83" spans="4:9" x14ac:dyDescent="0.25">
      <c r="E83" s="9"/>
      <c r="G83" s="41" t="s">
        <v>26</v>
      </c>
      <c r="H83" s="42">
        <f>H51</f>
        <v>-82.67738700000001</v>
      </c>
    </row>
    <row r="84" spans="4:9" x14ac:dyDescent="0.25">
      <c r="H84" s="6">
        <f>SUM(H79:H83)</f>
        <v>1032.868226</v>
      </c>
    </row>
    <row r="85" spans="4:9" x14ac:dyDescent="0.25">
      <c r="G85" s="41" t="s">
        <v>42</v>
      </c>
      <c r="H85" s="6"/>
    </row>
    <row r="86" spans="4:9" x14ac:dyDescent="0.25">
      <c r="E86" s="20">
        <f>E71</f>
        <v>0.13800000000000001</v>
      </c>
      <c r="G86" s="41" t="s">
        <v>2</v>
      </c>
      <c r="H86" s="6">
        <f>E48</f>
        <v>516.43411300000002</v>
      </c>
    </row>
    <row r="87" spans="4:9" x14ac:dyDescent="0.25">
      <c r="E87" s="43">
        <v>0.4</v>
      </c>
      <c r="G87" s="41" t="s">
        <v>18</v>
      </c>
      <c r="H87" s="6">
        <f>H62</f>
        <v>516.43411300000002</v>
      </c>
    </row>
    <row r="88" spans="4:9" x14ac:dyDescent="0.25">
      <c r="E88" s="20">
        <f>E87-E86</f>
        <v>0.26200000000000001</v>
      </c>
      <c r="H88" s="28">
        <f>H84-H86-H87</f>
        <v>0</v>
      </c>
    </row>
    <row r="89" spans="4:9" x14ac:dyDescent="0.25">
      <c r="E89" s="19">
        <f>E88/2</f>
        <v>0.13100000000000001</v>
      </c>
      <c r="F89" t="s">
        <v>43</v>
      </c>
    </row>
    <row r="91" spans="4:9" x14ac:dyDescent="0.25">
      <c r="D91" t="s">
        <v>44</v>
      </c>
      <c r="E91" t="s">
        <v>45</v>
      </c>
      <c r="F91" t="s">
        <v>46</v>
      </c>
      <c r="G91" t="s">
        <v>47</v>
      </c>
    </row>
    <row r="92" spans="4:9" x14ac:dyDescent="0.25">
      <c r="D92" t="s">
        <v>33</v>
      </c>
      <c r="E92" s="20">
        <f>F80</f>
        <v>0.43100000000000005</v>
      </c>
      <c r="F92" s="46">
        <f>-E89</f>
        <v>-0.13100000000000001</v>
      </c>
      <c r="G92" s="45">
        <f>SUM(E92:F92)</f>
        <v>0.30000000000000004</v>
      </c>
    </row>
    <row r="93" spans="4:9" x14ac:dyDescent="0.25">
      <c r="D93" t="s">
        <v>18</v>
      </c>
      <c r="E93" s="20">
        <f>F81</f>
        <v>0.43100000000000005</v>
      </c>
      <c r="F93" s="46">
        <f>-E89</f>
        <v>-0.13100000000000001</v>
      </c>
      <c r="G93" s="45">
        <f t="shared" ref="G93:G94" si="2">SUM(E93:F93)</f>
        <v>0.30000000000000004</v>
      </c>
    </row>
    <row r="94" spans="4:9" x14ac:dyDescent="0.25">
      <c r="D94" t="s">
        <v>34</v>
      </c>
      <c r="E94" s="20">
        <f>F82</f>
        <v>0.13800000000000001</v>
      </c>
      <c r="F94" s="46">
        <f>-F92-F93</f>
        <v>0.26200000000000001</v>
      </c>
      <c r="G94" s="45">
        <f t="shared" si="2"/>
        <v>0.4</v>
      </c>
    </row>
    <row r="96" spans="4:9" x14ac:dyDescent="0.25">
      <c r="F96" t="s">
        <v>48</v>
      </c>
      <c r="G96" t="s">
        <v>52</v>
      </c>
      <c r="H96" t="s">
        <v>49</v>
      </c>
      <c r="I96" s="18">
        <v>0.34</v>
      </c>
    </row>
    <row r="97" spans="3:9" x14ac:dyDescent="0.25">
      <c r="C97" t="s">
        <v>53</v>
      </c>
      <c r="D97" s="20">
        <f>F92</f>
        <v>-0.13100000000000001</v>
      </c>
      <c r="E97" s="8">
        <f>E49</f>
        <v>179.744</v>
      </c>
      <c r="F97" s="28">
        <f>E97*D97</f>
        <v>-23.546464</v>
      </c>
      <c r="G97">
        <v>600</v>
      </c>
      <c r="H97" s="28">
        <f>G97+F97</f>
        <v>576.45353599999999</v>
      </c>
      <c r="I97" s="28">
        <f>H97*I96</f>
        <v>195.99420224000002</v>
      </c>
    </row>
    <row r="98" spans="3:9" x14ac:dyDescent="0.25">
      <c r="C98" t="s">
        <v>53</v>
      </c>
      <c r="D98" s="20">
        <f>F93</f>
        <v>-0.13100000000000001</v>
      </c>
      <c r="E98" s="8">
        <f>E48</f>
        <v>516.43411300000002</v>
      </c>
      <c r="F98" s="28">
        <f>E98*D98</f>
        <v>-67.652868803000004</v>
      </c>
      <c r="G98">
        <f>G97</f>
        <v>600</v>
      </c>
      <c r="H98" s="28">
        <f>G98+F98</f>
        <v>532.34713119699995</v>
      </c>
      <c r="I98" s="28">
        <f>H98*I96</f>
        <v>180.99802460698001</v>
      </c>
    </row>
  </sheetData>
  <mergeCells count="3">
    <mergeCell ref="G33:I33"/>
    <mergeCell ref="D4:N4"/>
    <mergeCell ref="D39:N39"/>
  </mergeCells>
  <pageMargins left="0.51181102362204722" right="0.51181102362204722" top="0.78740157480314965" bottom="0.78740157480314965" header="0.31496062992125984" footer="0.31496062992125984"/>
  <pageSetup paperSize="9" scale="31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706F4D205BC14CBF5FDF38141D2F2A" ma:contentTypeVersion="5" ma:contentTypeDescription="Crie um novo documento." ma:contentTypeScope="" ma:versionID="07f0b873b7b2e95787a93c4402f37cb4">
  <xsd:schema xmlns:xsd="http://www.w3.org/2001/XMLSchema" xmlns:xs="http://www.w3.org/2001/XMLSchema" xmlns:p="http://schemas.microsoft.com/office/2006/metadata/properties" xmlns:ns3="cef3cd8f-459e-46df-8b5b-dd38627cea28" targetNamespace="http://schemas.microsoft.com/office/2006/metadata/properties" ma:root="true" ma:fieldsID="572a9d532d5b39f9d5820f149cd9d16d" ns3:_="">
    <xsd:import namespace="cef3cd8f-459e-46df-8b5b-dd38627cea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3cd8f-459e-46df-8b5b-dd38627cea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3cd8f-459e-46df-8b5b-dd38627cea28" xsi:nil="true"/>
  </documentManagement>
</p:properties>
</file>

<file path=customXml/itemProps1.xml><?xml version="1.0" encoding="utf-8"?>
<ds:datastoreItem xmlns:ds="http://schemas.openxmlformats.org/officeDocument/2006/customXml" ds:itemID="{612AD18B-0E2E-4680-B3A5-45ABBC5C9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3cd8f-459e-46df-8b5b-dd38627c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A1FD6E-E01C-4C5B-A831-84828627DB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C50177-F201-4730-8AB1-26A90816DB4A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  <ds:schemaRef ds:uri="cef3cd8f-459e-46df-8b5b-dd38627cea28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30 06 26com dividendos</vt:lpstr>
      <vt:lpstr>base 30 06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- CDP</dc:creator>
  <cp:lastModifiedBy>Maria Luiza Carneiro Assad | Stocche Forbes Advogados</cp:lastModifiedBy>
  <cp:lastPrinted>2026-08-10T11:58:18Z</cp:lastPrinted>
  <dcterms:created xsi:type="dcterms:W3CDTF">2026-08-10T10:23:44Z</dcterms:created>
  <dcterms:modified xsi:type="dcterms:W3CDTF">2026-08-31T19:08:02Z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0x01010096706F4D205BC14CBF5FDF38141D2F2A</vt:lpwstr>
  </property>
</Properties>
</file>