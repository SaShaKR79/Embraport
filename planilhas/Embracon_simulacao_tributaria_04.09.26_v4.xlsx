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ccheforbes-my.sharepoint.com/personal/casilva_stoccheforbes_com_br/Documents/Documentos/Embracon/Planilha + Materiais/Versões finais (31.08)/"/>
    </mc:Choice>
  </mc:AlternateContent>
  <xr:revisionPtr revIDLastSave="0" documentId="8_{2D7AA997-854A-492A-8A63-8B33F72EBDD6}" xr6:coauthVersionLast="47" xr6:coauthVersionMax="47" xr10:uidLastSave="{00000000-0000-0000-0000-000000000000}"/>
  <bookViews>
    <workbookView xWindow="-110" yWindow="-110" windowWidth="25820" windowHeight="15500" xr2:uid="{9F143F3C-4A7F-4F50-9B6A-A4BAA8B69D0B}"/>
  </bookViews>
  <sheets>
    <sheet name="Organograma" sheetId="3" r:id="rId1"/>
    <sheet name="Cálculos da Operação" sheetId="15" r:id="rId2"/>
    <sheet name="Segregação de Risco" sheetId="17" r:id="rId3"/>
    <sheet name="Dourada C. e A. SA" sheetId="4" state="hidden" r:id="rId4"/>
    <sheet name="Embracon Franchising" sheetId="10" state="hidden" r:id="rId5"/>
    <sheet name="Embrafisa Consul." sheetId="9" state="hidden" r:id="rId6"/>
    <sheet name="GSJ" sheetId="11" state="hidden" r:id="rId7"/>
  </sheets>
  <definedNames>
    <definedName name="__xlnm_Print_Area_1">#REF!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<sst xmlns="http://schemas.openxmlformats.org/spreadsheetml/2006/main" count="230" uniqueCount="173">
  <si>
    <t>DOURADA COMERCIAL E AGROPECUARIA S/A</t>
  </si>
  <si>
    <t>Provisão p/ devedores duvidosos</t>
  </si>
  <si>
    <t>-Excel LALUR 2024</t>
  </si>
  <si>
    <t xml:space="preserve">Incentivos Fiscais </t>
  </si>
  <si>
    <t xml:space="preserve">Base de Cálculo do Incentivo </t>
  </si>
  <si>
    <t xml:space="preserve">Limite de Dedução Individual </t>
  </si>
  <si>
    <t xml:space="preserve">Embasamento Legal </t>
  </si>
  <si>
    <t>Programa de Alimentação ao Trabalhador - PAT</t>
  </si>
  <si>
    <t>objetivo de melhorar as condições nutricionais e de qualidade de vida dos trabalhadores</t>
  </si>
  <si>
    <t>4% do IRPJ devido ANTES ADCIONAL 10%</t>
  </si>
  <si>
    <t>Artigos 491 a 493, 504 a 507, 581 a 587 do RIR/99</t>
  </si>
  <si>
    <t>Doações aos Fundos dos Direitos da Criança e do Adolescente</t>
  </si>
  <si>
    <t>Doações efetivamente realizadas</t>
  </si>
  <si>
    <t>1% do IRPJ devido ANTES ADICIONAL 10%</t>
  </si>
  <si>
    <t>Art. 591 do RIR/99</t>
  </si>
  <si>
    <t>Atividade Audiovisual</t>
  </si>
  <si>
    <t>Valores aplicados na aquisição de certificados de investimentos em projetos aprovados pelo Ministério da Cultura</t>
  </si>
  <si>
    <t>3% do IRPJ devido ANTES ADICIONAL 10%</t>
  </si>
  <si>
    <t>  Artigos 475  478, 484 a 488 do RIR/99</t>
  </si>
  <si>
    <t>LEI DE INCENTIVO A CULTURAL - ROUANET</t>
  </si>
  <si>
    <t>É a lei que institui o Programa Nacional de Apoio à Cultura - PRONAC</t>
  </si>
  <si>
    <t>4% do IRPJ devido ANTES ADICIONAL 10%</t>
  </si>
  <si>
    <t>Base Legal: Lei 8.313/1991; Lei 9.874/1999; Decreto 3.000/1999; Instrução Normativa-SRF 267/2002 e Instrução Normativa-SRF 390/2004.</t>
  </si>
  <si>
    <t>FUNDO MUNICIPAL DO IDOSO - FMI</t>
  </si>
  <si>
    <t xml:space="preserve">doações efetuadas aos respectivos fundos municipais, estaduais e nacional. </t>
  </si>
  <si>
    <t>1% do IRPJ devido ANTES ADCIONAL 10%</t>
  </si>
  <si>
    <t>LEI 12.213</t>
  </si>
  <si>
    <t>LEI DE INCENTIVO AO ESPORTE - LIE</t>
  </si>
  <si>
    <t>Objetiva principalmente incentivar o esporte de um modo geral.</t>
  </si>
  <si>
    <t>LEI 11.438</t>
  </si>
  <si>
    <t>Ativos</t>
  </si>
  <si>
    <t>Passivos</t>
  </si>
  <si>
    <t>Ativos circulantes</t>
  </si>
  <si>
    <t>Passivos circulantes</t>
  </si>
  <si>
    <t>Caixa e equivalentes de caixa</t>
  </si>
  <si>
    <t>Fornecedores</t>
  </si>
  <si>
    <t>Outras contas a receber (adiantamentos)</t>
  </si>
  <si>
    <t>Empréstimos e financiamentos</t>
  </si>
  <si>
    <t>Provisões trab/tribut</t>
  </si>
  <si>
    <t>Passivos não circulantes</t>
  </si>
  <si>
    <t>Investimentos</t>
  </si>
  <si>
    <t>Patrimônio líquido</t>
  </si>
  <si>
    <t>Contas a receber</t>
  </si>
  <si>
    <t>Títulos e valores mobiliários</t>
  </si>
  <si>
    <t>Impostos a compensar</t>
  </si>
  <si>
    <t>Imobilizado</t>
  </si>
  <si>
    <t>Ativo Permanente</t>
  </si>
  <si>
    <t>Dividendos</t>
  </si>
  <si>
    <t>Adiantamento de clientes</t>
  </si>
  <si>
    <t>Capital subscrito e integralizado</t>
  </si>
  <si>
    <t>Reserva de reavaliação</t>
  </si>
  <si>
    <t>Lucros/Prejuízos acumulados</t>
  </si>
  <si>
    <t>Lucro Real</t>
  </si>
  <si>
    <t>Reserva de lucros (reserva legal)</t>
  </si>
  <si>
    <t>Prejuízo Fiscal IRPJ</t>
  </si>
  <si>
    <t>Prejuízo Fiscal CSLL</t>
  </si>
  <si>
    <t>Contas a pagar</t>
  </si>
  <si>
    <t>Base das informações</t>
  </si>
  <si>
    <t>Excel: LALUR</t>
  </si>
  <si>
    <t>EMBRACON FRANCHISING LTDA</t>
  </si>
  <si>
    <t>Lucro Presumido</t>
  </si>
  <si>
    <t>Balanço</t>
  </si>
  <si>
    <t>Titulos e Valores Mobiliários</t>
  </si>
  <si>
    <t>Outros créditos</t>
  </si>
  <si>
    <t xml:space="preserve">Ativo não circulante </t>
  </si>
  <si>
    <t xml:space="preserve">Realizável a longo prazo - outros investimentos </t>
  </si>
  <si>
    <t>Fiscais e previdenciários</t>
  </si>
  <si>
    <t>Capital a integralizar</t>
  </si>
  <si>
    <t>Reseva de Lucros</t>
  </si>
  <si>
    <t/>
  </si>
  <si>
    <t>Caixa e equivalentes</t>
  </si>
  <si>
    <t>clientes</t>
  </si>
  <si>
    <t>adiantamentos</t>
  </si>
  <si>
    <t>Estoques</t>
  </si>
  <si>
    <t>Ações Judiciais</t>
  </si>
  <si>
    <t>Ativo não circulante</t>
  </si>
  <si>
    <t>Obrigações trib.</t>
  </si>
  <si>
    <t>Obrigações Trab.</t>
  </si>
  <si>
    <t>Previsão de adiantamento de clientes</t>
  </si>
  <si>
    <t xml:space="preserve">Reserva de lucros </t>
  </si>
  <si>
    <t>EMBRAFISA CONSUL. EMPRE. CORRE. DE SEGU. E EMPREEND. IMOB. LTDA</t>
  </si>
  <si>
    <t>Caixa e equivalente</t>
  </si>
  <si>
    <t>Titulos e valores mobiliarios</t>
  </si>
  <si>
    <t>Participação societárias</t>
  </si>
  <si>
    <t>Outros creditos</t>
  </si>
  <si>
    <t>Outros investimentos</t>
  </si>
  <si>
    <t>Fiscais e Previdenciarias</t>
  </si>
  <si>
    <t>Diversas</t>
  </si>
  <si>
    <t>Dividendos a pagar</t>
  </si>
  <si>
    <t>Reserva legal</t>
  </si>
  <si>
    <t>reserva de lucros</t>
  </si>
  <si>
    <t>Lucros/Prejuizos acumulados</t>
  </si>
  <si>
    <t>GSJ Balanço</t>
  </si>
  <si>
    <t xml:space="preserve">                         </t>
  </si>
  <si>
    <t>COMPANHIA GSJ DE PART.</t>
  </si>
  <si>
    <t>Cálculos tributários</t>
  </si>
  <si>
    <t>-</t>
  </si>
  <si>
    <t>Premissas econômicas</t>
  </si>
  <si>
    <t>21 de maio de 2025</t>
  </si>
  <si>
    <t xml:space="preserve">Patrimonio Liquido </t>
  </si>
  <si>
    <t>SAVIAN</t>
  </si>
  <si>
    <t>JVFJ</t>
  </si>
  <si>
    <t>EMBRACON</t>
  </si>
  <si>
    <t>Invest. Embracon</t>
  </si>
  <si>
    <t>Data-base dos balanços</t>
  </si>
  <si>
    <t>30.06.2026</t>
  </si>
  <si>
    <t>Unidade</t>
  </si>
  <si>
    <t>R$ milhões</t>
  </si>
  <si>
    <t>Participação das Partes CNP na incorporação (relação de troca)</t>
  </si>
  <si>
    <t>IRPJ/CSLL — ganho de capital PJ</t>
  </si>
  <si>
    <t>Informações Adicionais</t>
  </si>
  <si>
    <t>CNP (ações novas)</t>
  </si>
  <si>
    <t>CNPH</t>
  </si>
  <si>
    <t>Valor de Mercado CNPH</t>
  </si>
  <si>
    <t>Participação Societária (Embracon)</t>
  </si>
  <si>
    <t>Antes</t>
  </si>
  <si>
    <t>Após Inc</t>
  </si>
  <si>
    <t xml:space="preserve">(=) Total </t>
  </si>
  <si>
    <t>PL Embracon (pós inc)</t>
  </si>
  <si>
    <t>Embracon - Incorporação do Acervo</t>
  </si>
  <si>
    <t>Reflexo nas Holdings (MEP) - Custo de Investimento</t>
  </si>
  <si>
    <t>Custo Original (Investimento anterior)</t>
  </si>
  <si>
    <t>Total</t>
  </si>
  <si>
    <t>(+) Incorporação base</t>
  </si>
  <si>
    <t>(-) Diluição (13,8%)</t>
  </si>
  <si>
    <t>(=) Parcela liquida incorporada</t>
  </si>
  <si>
    <t>(=) Custo Incrementado</t>
  </si>
  <si>
    <t>Custo Original</t>
  </si>
  <si>
    <t>Acervo liquido incorporado</t>
  </si>
  <si>
    <t>Custo do Investimento Incrementado (Alternativa)</t>
  </si>
  <si>
    <t>2 x 463,75 -&gt;</t>
  </si>
  <si>
    <t>Lançamentos Contábeis (Holdings)</t>
  </si>
  <si>
    <t>Reflexo da Incorporação</t>
  </si>
  <si>
    <t>Débitos</t>
  </si>
  <si>
    <t>Crédito</t>
  </si>
  <si>
    <t>Perda de diluição</t>
  </si>
  <si>
    <t>(=) Efeito Líquido do Investimento</t>
  </si>
  <si>
    <t xml:space="preserve">SAVIAN </t>
  </si>
  <si>
    <t>1) Incorporação CNPH</t>
  </si>
  <si>
    <t xml:space="preserve">CNP </t>
  </si>
  <si>
    <t>Alienação total estimada</t>
  </si>
  <si>
    <t>Participação-alvo final das Partes na CNPH</t>
  </si>
  <si>
    <t xml:space="preserve">2) Cash-out - Simultânea </t>
  </si>
  <si>
    <t xml:space="preserve">Incorporação </t>
  </si>
  <si>
    <t>Percentual de Venda (Cash Out)</t>
  </si>
  <si>
    <t>(=) Total</t>
  </si>
  <si>
    <t>Pós Inc</t>
  </si>
  <si>
    <t>Venda (Cash-Out)</t>
  </si>
  <si>
    <t xml:space="preserve">Final </t>
  </si>
  <si>
    <t>Alteração na participação da Embracon</t>
  </si>
  <si>
    <t>Cenário B (incrementado)</t>
  </si>
  <si>
    <t>Cenário A (original)</t>
  </si>
  <si>
    <t>Item</t>
  </si>
  <si>
    <t>Preço (Cash-out)</t>
  </si>
  <si>
    <t>Valor estimado Cash-Out (Preço)</t>
  </si>
  <si>
    <t>Custo Total</t>
  </si>
  <si>
    <t>Por Holding</t>
  </si>
  <si>
    <t>Participação por holding pós inc</t>
  </si>
  <si>
    <t>Fração Alienada (Cash-Out)</t>
  </si>
  <si>
    <t xml:space="preserve">Custo Alocado </t>
  </si>
  <si>
    <t xml:space="preserve">Ganho de Capital </t>
  </si>
  <si>
    <t>IRPJ/CSLL (34%)</t>
  </si>
  <si>
    <t xml:space="preserve">Ganho Liquido </t>
  </si>
  <si>
    <t>Alíquota Efetiva (preço)</t>
  </si>
  <si>
    <t>Custo Remanescente</t>
  </si>
  <si>
    <t>Δ (Economia)</t>
  </si>
  <si>
    <t>Cálculo Ganho de Capital (Holdings)</t>
  </si>
  <si>
    <t xml:space="preserve">Total </t>
  </si>
  <si>
    <t>Cen A</t>
  </si>
  <si>
    <t>Cen B</t>
  </si>
  <si>
    <t>Segregação de Risco</t>
  </si>
  <si>
    <t>Informações</t>
  </si>
  <si>
    <t>PL Embracon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</si>
</sst>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\ ;&quot; (&quot;#,##0.00\);&quot; -&quot;#\ ;@\ "/>
    <numFmt numFmtId="165" formatCode="_-* #,##0.00_-;\-* #,##0.00_-;_-* \-??_-;_-@_-"/>
    <numFmt numFmtId="166" formatCode="_(* #,##0.00_);_(* \(#,##0.00\);_(* &quot;-&quot;??_);_(@_)"/>
    <numFmt numFmtId="168" formatCode="0.0%"/>
    <numFmt numFmtId="169" formatCode="#,##0.0"/>
    <numFmt numFmtId="176" formatCode="0.0"/>
    <numFmt numFmtId="177" formatCode="#,##0.0;[Red]\(#,##0.0\);\-"/>
    <numFmt numFmtId="178" formatCode="0.0;[Red]\-0.0;&quot;ok&quot;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8"/>
      <name val="Aptos Narrow"/>
      <family val="2"/>
      <scheme val="minor"/>
    </font>
    <font>
      <b/>
      <sz val="10"/>
      <color theme="0"/>
      <name val="Calibri"/>
      <family val="2"/>
    </font>
    <font>
      <i/>
      <sz val="11"/>
      <color theme="1"/>
      <name val="Aptos Narrow"/>
      <family val="2"/>
      <scheme val="minor"/>
    </font>
    <font>
      <i/>
      <sz val="20"/>
      <color theme="1"/>
      <name val="Aptos Narrow"/>
      <family val="2"/>
      <scheme val="minor"/>
    </font>
    <font>
      <b/>
      <sz val="28"/>
      <color rgb="FF40404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32">
    <border>
      <left/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double">
        <color indexed="8"/>
      </top>
      <bottom/>
      <diagonal/>
    </border>
    <border>
      <left style="medium">
        <color indexed="64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thin">
        <color indexed="8"/>
      </right>
      <top style="double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9" fontId="3" fillId="0" borderId="0"/>
    <xf numFmtId="165" fontId="2" fillId="0" borderId="0" applyFill="0" applyBorder="0" applyAlignment="0" applyProtection="0"/>
    <xf numFmtId="164" fontId="3" fillId="0" borderId="0"/>
    <xf numFmtId="9" fontId="2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42">
    <xf numFmtId="0" fontId="0" fillId="0" borderId="0" xfId="0"/>
    <xf numFmtId="0" fontId="8" fillId="0" borderId="0" xfId="0" applyFont="1" applyAlignment="1">
      <alignment horizontal="center" vertical="center"/>
    </xf>
    <xf numFmtId="4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5" fillId="0" borderId="0" xfId="0" applyNumberFormat="1" applyFont="1" applyAlignment="1" applyProtection="1">
      <alignment horizontal="center" vertical="center"/>
      <protection locked="0"/>
    </xf>
    <xf numFmtId="0" fontId="7" fillId="0" borderId="0" xfId="0" quotePrefix="1" applyFont="1" applyAlignment="1">
      <alignment horizontal="center" vertical="center"/>
    </xf>
    <xf numFmtId="10" fontId="0" fillId="0" borderId="0" xfId="0" applyNumberFormat="1"/>
    <xf numFmtId="0" fontId="6" fillId="3" borderId="0" xfId="4" applyFont="1" applyFill="1" applyAlignment="1">
      <alignment horizontal="center" vertical="center" wrapText="1"/>
    </xf>
    <xf numFmtId="0" fontId="5" fillId="3" borderId="0" xfId="4" applyFont="1" applyFill="1" applyAlignment="1">
      <alignment horizontal="center" vertical="center" wrapText="1"/>
    </xf>
    <xf numFmtId="0" fontId="6" fillId="3" borderId="8" xfId="4" applyFont="1" applyFill="1" applyBorder="1" applyAlignment="1">
      <alignment horizontal="center" vertical="center" wrapText="1"/>
    </xf>
    <xf numFmtId="0" fontId="5" fillId="3" borderId="2" xfId="4" applyFont="1" applyFill="1" applyBorder="1" applyAlignment="1">
      <alignment horizontal="center" vertical="center" wrapText="1"/>
    </xf>
    <xf numFmtId="0" fontId="5" fillId="3" borderId="10" xfId="4" applyFont="1" applyFill="1" applyBorder="1" applyAlignment="1">
      <alignment horizontal="center" vertical="center" wrapText="1"/>
    </xf>
    <xf numFmtId="0" fontId="5" fillId="3" borderId="3" xfId="4" applyFont="1" applyFill="1" applyBorder="1" applyAlignment="1">
      <alignment horizontal="center" vertical="center" wrapText="1"/>
    </xf>
    <xf numFmtId="0" fontId="5" fillId="3" borderId="12" xfId="4" applyFont="1" applyFill="1" applyBorder="1" applyAlignment="1">
      <alignment horizontal="center" vertical="center" wrapText="1"/>
    </xf>
    <xf numFmtId="0" fontId="5" fillId="3" borderId="4" xfId="4" applyFont="1" applyFill="1" applyBorder="1" applyAlignment="1">
      <alignment horizontal="center" vertical="center" wrapText="1"/>
    </xf>
    <xf numFmtId="0" fontId="5" fillId="3" borderId="15" xfId="4" applyFont="1" applyFill="1" applyBorder="1" applyAlignment="1">
      <alignment horizontal="center" vertical="center" wrapText="1"/>
    </xf>
    <xf numFmtId="0" fontId="5" fillId="3" borderId="1" xfId="4" applyFont="1" applyFill="1" applyBorder="1" applyAlignment="1">
      <alignment horizontal="center" vertical="center" wrapText="1"/>
    </xf>
    <xf numFmtId="0" fontId="5" fillId="3" borderId="17" xfId="4" applyFont="1" applyFill="1" applyBorder="1" applyAlignment="1">
      <alignment horizontal="center" vertical="center" wrapText="1"/>
    </xf>
    <xf numFmtId="0" fontId="5" fillId="3" borderId="18" xfId="4" applyFont="1" applyFill="1" applyBorder="1" applyAlignment="1">
      <alignment horizontal="center" vertical="center" wrapText="1"/>
    </xf>
    <xf numFmtId="44" fontId="7" fillId="5" borderId="0" xfId="0" applyNumberFormat="1" applyFont="1" applyFill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44" fontId="7" fillId="0" borderId="28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44" fontId="7" fillId="0" borderId="30" xfId="0" applyNumberFormat="1" applyFont="1" applyBorder="1" applyAlignment="1">
      <alignment horizontal="center" vertical="center"/>
    </xf>
    <xf numFmtId="0" fontId="6" fillId="3" borderId="19" xfId="4" applyFont="1" applyFill="1" applyBorder="1" applyAlignment="1">
      <alignment horizontal="center" vertical="center" wrapText="1"/>
    </xf>
    <xf numFmtId="0" fontId="6" fillId="3" borderId="6" xfId="4" applyFont="1" applyFill="1" applyBorder="1" applyAlignment="1">
      <alignment horizontal="center" vertical="center" wrapText="1"/>
    </xf>
    <xf numFmtId="0" fontId="5" fillId="3" borderId="9" xfId="4" applyFont="1" applyFill="1" applyBorder="1" applyAlignment="1">
      <alignment horizontal="center" vertical="center" wrapText="1"/>
    </xf>
    <xf numFmtId="0" fontId="5" fillId="3" borderId="11" xfId="4" applyFont="1" applyFill="1" applyBorder="1" applyAlignment="1">
      <alignment horizontal="center" vertical="center" wrapText="1"/>
    </xf>
    <xf numFmtId="0" fontId="5" fillId="3" borderId="13" xfId="4" applyFont="1" applyFill="1" applyBorder="1" applyAlignment="1">
      <alignment horizontal="center" vertical="center" wrapText="1"/>
    </xf>
    <xf numFmtId="0" fontId="5" fillId="3" borderId="14" xfId="4" applyFont="1" applyFill="1" applyBorder="1" applyAlignment="1">
      <alignment horizontal="center" vertical="center" wrapText="1"/>
    </xf>
    <xf numFmtId="0" fontId="5" fillId="3" borderId="7" xfId="4" applyFont="1" applyFill="1" applyBorder="1" applyAlignment="1">
      <alignment horizontal="center" vertical="center" wrapText="1"/>
    </xf>
    <xf numFmtId="0" fontId="5" fillId="3" borderId="16" xfId="4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44" fontId="7" fillId="6" borderId="28" xfId="1" applyNumberFormat="1" applyFont="1" applyFill="1" applyBorder="1" applyAlignment="1">
      <alignment horizontal="center" vertical="center"/>
    </xf>
    <xf numFmtId="44" fontId="7" fillId="0" borderId="28" xfId="1" applyNumberFormat="1" applyFont="1" applyFill="1" applyBorder="1" applyAlignment="1">
      <alignment horizontal="center" vertical="center"/>
    </xf>
    <xf numFmtId="0" fontId="9" fillId="3" borderId="0" xfId="4" applyFont="1" applyFill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44" fontId="7" fillId="5" borderId="28" xfId="1" applyNumberFormat="1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4" fontId="7" fillId="0" borderId="30" xfId="1" applyNumberFormat="1" applyFont="1" applyFill="1" applyBorder="1" applyAlignment="1">
      <alignment horizontal="center" vertical="center"/>
    </xf>
    <xf numFmtId="44" fontId="7" fillId="0" borderId="0" xfId="1" applyNumberFormat="1" applyFont="1" applyFill="1" applyBorder="1" applyAlignment="1">
      <alignment horizontal="center" vertical="center"/>
    </xf>
    <xf numFmtId="0" fontId="9" fillId="3" borderId="5" xfId="4" applyFont="1" applyFill="1" applyBorder="1" applyAlignment="1">
      <alignment horizontal="center" vertical="center"/>
    </xf>
    <xf numFmtId="0" fontId="9" fillId="3" borderId="17" xfId="4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44" fontId="7" fillId="5" borderId="30" xfId="1" applyNumberFormat="1" applyFont="1" applyFill="1" applyBorder="1" applyAlignment="1">
      <alignment horizontal="center" vertical="center"/>
    </xf>
    <xf numFmtId="44" fontId="7" fillId="4" borderId="23" xfId="1" applyNumberFormat="1" applyFont="1" applyFill="1" applyBorder="1" applyAlignment="1">
      <alignment horizontal="center" vertical="center"/>
    </xf>
    <xf numFmtId="44" fontId="7" fillId="5" borderId="30" xfId="0" applyNumberFormat="1" applyFont="1" applyFill="1" applyBorder="1" applyAlignment="1">
      <alignment horizontal="center" vertical="center"/>
    </xf>
    <xf numFmtId="44" fontId="7" fillId="6" borderId="30" xfId="1" applyNumberFormat="1" applyFont="1" applyFill="1" applyBorder="1" applyAlignment="1">
      <alignment horizontal="center" vertical="center"/>
    </xf>
    <xf numFmtId="44" fontId="7" fillId="6" borderId="23" xfId="1" applyNumberFormat="1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44" fontId="7" fillId="5" borderId="28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44" fontId="5" fillId="3" borderId="0" xfId="4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3" borderId="0" xfId="0" quotePrefix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44" fontId="5" fillId="3" borderId="0" xfId="0" applyNumberFormat="1" applyFont="1" applyFill="1" applyAlignment="1" applyProtection="1">
      <alignment horizontal="center" vertical="center"/>
      <protection locked="0"/>
    </xf>
    <xf numFmtId="44" fontId="7" fillId="3" borderId="0" xfId="0" applyNumberFormat="1" applyFont="1" applyFill="1" applyAlignment="1">
      <alignment horizontal="center" vertical="center"/>
    </xf>
    <xf numFmtId="0" fontId="7" fillId="6" borderId="27" xfId="0" quotePrefix="1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44" fontId="5" fillId="2" borderId="26" xfId="0" applyNumberFormat="1" applyFont="1" applyFill="1" applyBorder="1" applyAlignment="1" applyProtection="1">
      <alignment horizontal="center" vertical="center"/>
      <protection locked="0"/>
    </xf>
    <xf numFmtId="0" fontId="8" fillId="2" borderId="27" xfId="0" applyFont="1" applyFill="1" applyBorder="1" applyAlignment="1">
      <alignment horizontal="center" vertical="center"/>
    </xf>
    <xf numFmtId="44" fontId="5" fillId="2" borderId="30" xfId="0" applyNumberFormat="1" applyFont="1" applyFill="1" applyBorder="1" applyAlignment="1" applyProtection="1">
      <alignment horizontal="center" vertical="center"/>
      <protection locked="0"/>
    </xf>
    <xf numFmtId="0" fontId="8" fillId="0" borderId="21" xfId="0" applyFont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44" fontId="7" fillId="5" borderId="23" xfId="1" applyNumberFormat="1" applyFont="1" applyFill="1" applyBorder="1" applyAlignment="1">
      <alignment horizontal="center" vertical="center"/>
    </xf>
    <xf numFmtId="0" fontId="7" fillId="5" borderId="27" xfId="0" quotePrefix="1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44" fontId="7" fillId="7" borderId="23" xfId="1" applyNumberFormat="1" applyFont="1" applyFill="1" applyBorder="1" applyAlignment="1">
      <alignment horizontal="center" vertical="center"/>
    </xf>
    <xf numFmtId="44" fontId="7" fillId="6" borderId="26" xfId="1" applyNumberFormat="1" applyFont="1" applyFill="1" applyBorder="1" applyAlignment="1">
      <alignment horizontal="center" vertical="center"/>
    </xf>
    <xf numFmtId="44" fontId="7" fillId="5" borderId="26" xfId="1" applyNumberFormat="1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44" fontId="7" fillId="5" borderId="0" xfId="1" applyNumberFormat="1" applyFont="1" applyFill="1" applyBorder="1" applyAlignment="1">
      <alignment horizontal="center" vertical="center"/>
    </xf>
    <xf numFmtId="44" fontId="7" fillId="5" borderId="23" xfId="0" applyNumberFormat="1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6" borderId="29" xfId="0" quotePrefix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6" borderId="27" xfId="0" quotePrefix="1" applyFont="1" applyFill="1" applyBorder="1" applyAlignment="1">
      <alignment horizontal="center" vertical="center"/>
    </xf>
    <xf numFmtId="0" fontId="8" fillId="6" borderId="0" xfId="0" quotePrefix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/>
    </xf>
    <xf numFmtId="166" fontId="11" fillId="8" borderId="22" xfId="1" applyNumberFormat="1" applyFont="1" applyFill="1" applyBorder="1" applyAlignment="1">
      <alignment horizontal="center" vertical="center"/>
    </xf>
    <xf numFmtId="14" fontId="11" fillId="8" borderId="23" xfId="1" applyNumberFormat="1" applyFont="1" applyFill="1" applyBorder="1" applyAlignment="1">
      <alignment horizontal="center" vertical="center"/>
    </xf>
    <xf numFmtId="166" fontId="11" fillId="8" borderId="21" xfId="1" applyNumberFormat="1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vertical="center" readingOrder="1"/>
    </xf>
    <xf numFmtId="0" fontId="7" fillId="0" borderId="27" xfId="0" applyFont="1" applyBorder="1" applyAlignment="1">
      <alignment horizontal="center" vertical="center"/>
    </xf>
    <xf numFmtId="0" fontId="7" fillId="0" borderId="27" xfId="0" quotePrefix="1" applyFont="1" applyBorder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0" fillId="0" borderId="20" xfId="0" applyBorder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0" fontId="0" fillId="0" borderId="0" xfId="0" applyFont="1"/>
    <xf numFmtId="0" fontId="12" fillId="3" borderId="0" xfId="0" applyFont="1" applyFill="1"/>
    <xf numFmtId="168" fontId="0" fillId="0" borderId="0" xfId="0" applyNumberFormat="1"/>
    <xf numFmtId="168" fontId="12" fillId="0" borderId="0" xfId="0" applyNumberFormat="1" applyFont="1"/>
    <xf numFmtId="168" fontId="12" fillId="0" borderId="20" xfId="0" applyNumberFormat="1" applyFont="1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9" fontId="0" fillId="0" borderId="0" xfId="10" applyFont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9" fontId="12" fillId="0" borderId="0" xfId="10" applyNumberFormat="1" applyFont="1"/>
    <xf numFmtId="168" fontId="16" fillId="0" borderId="0" xfId="0" applyNumberFormat="1" applyFont="1"/>
    <xf numFmtId="168" fontId="15" fillId="0" borderId="0" xfId="0" applyNumberFormat="1" applyFont="1"/>
    <xf numFmtId="0" fontId="0" fillId="0" borderId="0" xfId="0" applyFont="1" applyFill="1"/>
    <xf numFmtId="0" fontId="15" fillId="0" borderId="25" xfId="0" applyFont="1" applyBorder="1"/>
    <xf numFmtId="0" fontId="16" fillId="6" borderId="25" xfId="0" applyFont="1" applyFill="1" applyBorder="1"/>
    <xf numFmtId="9" fontId="16" fillId="6" borderId="25" xfId="0" applyNumberFormat="1" applyFont="1" applyFill="1" applyBorder="1"/>
    <xf numFmtId="0" fontId="15" fillId="0" borderId="0" xfId="0" applyFont="1"/>
    <xf numFmtId="0" fontId="16" fillId="0" borderId="0" xfId="0" applyFont="1"/>
    <xf numFmtId="0" fontId="16" fillId="6" borderId="22" xfId="0" applyFont="1" applyFill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4" fontId="0" fillId="0" borderId="0" xfId="0" applyNumberFormat="1"/>
    <xf numFmtId="164" fontId="17" fillId="0" borderId="0" xfId="0" applyNumberFormat="1" applyFont="1" applyAlignment="1">
      <alignment horizontal="right" vertical="center"/>
    </xf>
    <xf numFmtId="0" fontId="12" fillId="0" borderId="28" xfId="0" applyFont="1" applyBorder="1"/>
    <xf numFmtId="164" fontId="18" fillId="0" borderId="0" xfId="0" applyNumberFormat="1" applyFont="1"/>
    <xf numFmtId="164" fontId="18" fillId="0" borderId="28" xfId="0" applyNumberFormat="1" applyFont="1" applyBorder="1"/>
    <xf numFmtId="0" fontId="0" fillId="6" borderId="22" xfId="0" applyFill="1" applyBorder="1" applyAlignment="1">
      <alignment horizontal="center"/>
    </xf>
    <xf numFmtId="0" fontId="15" fillId="6" borderId="22" xfId="0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28" xfId="0" applyFont="1" applyBorder="1"/>
    <xf numFmtId="0" fontId="15" fillId="0" borderId="0" xfId="0" applyFont="1" applyAlignment="1">
      <alignment horizontal="right" vertical="center"/>
    </xf>
    <xf numFmtId="0" fontId="15" fillId="0" borderId="20" xfId="0" applyFont="1" applyBorder="1" applyAlignment="1">
      <alignment horizontal="left" vertical="center"/>
    </xf>
    <xf numFmtId="4" fontId="15" fillId="0" borderId="20" xfId="0" applyNumberFormat="1" applyFont="1" applyBorder="1"/>
    <xf numFmtId="4" fontId="15" fillId="0" borderId="30" xfId="0" applyNumberFormat="1" applyFont="1" applyBorder="1"/>
    <xf numFmtId="0" fontId="12" fillId="0" borderId="25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4" fontId="15" fillId="0" borderId="0" xfId="0" applyNumberFormat="1" applyFont="1" applyBorder="1"/>
    <xf numFmtId="0" fontId="15" fillId="0" borderId="25" xfId="0" applyFont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4" fontId="15" fillId="0" borderId="25" xfId="0" applyNumberFormat="1" applyFont="1" applyBorder="1" applyAlignment="1">
      <alignment vertical="center"/>
    </xf>
    <xf numFmtId="0" fontId="15" fillId="6" borderId="22" xfId="0" applyFont="1" applyFill="1" applyBorder="1" applyAlignment="1">
      <alignment horizontal="left" vertical="center"/>
    </xf>
    <xf numFmtId="4" fontId="15" fillId="6" borderId="22" xfId="0" applyNumberFormat="1" applyFont="1" applyFill="1" applyBorder="1" applyAlignment="1">
      <alignment vertical="center"/>
    </xf>
    <xf numFmtId="4" fontId="12" fillId="0" borderId="20" xfId="0" applyNumberFormat="1" applyFont="1" applyBorder="1" applyAlignment="1">
      <alignment horizontal="right" vertical="center"/>
    </xf>
    <xf numFmtId="0" fontId="15" fillId="0" borderId="0" xfId="0" applyFont="1" applyBorder="1" applyAlignment="1"/>
    <xf numFmtId="0" fontId="0" fillId="0" borderId="0" xfId="0" applyBorder="1"/>
    <xf numFmtId="164" fontId="12" fillId="0" borderId="0" xfId="0" applyNumberFormat="1" applyFont="1"/>
    <xf numFmtId="0" fontId="15" fillId="0" borderId="25" xfId="0" applyFont="1" applyBorder="1" applyAlignment="1">
      <alignment horizontal="center"/>
    </xf>
    <xf numFmtId="0" fontId="15" fillId="0" borderId="0" xfId="0" applyFont="1" applyBorder="1" applyAlignment="1">
      <alignment horizontal="left" vertical="center"/>
    </xf>
    <xf numFmtId="0" fontId="0" fillId="6" borderId="22" xfId="0" applyFill="1" applyBorder="1"/>
    <xf numFmtId="9" fontId="12" fillId="3" borderId="0" xfId="10" applyFont="1" applyFill="1"/>
    <xf numFmtId="0" fontId="15" fillId="6" borderId="0" xfId="0" applyFont="1" applyFill="1"/>
    <xf numFmtId="0" fontId="12" fillId="3" borderId="0" xfId="0" applyFont="1" applyFill="1" applyBorder="1"/>
    <xf numFmtId="3" fontId="15" fillId="0" borderId="0" xfId="0" applyNumberFormat="1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168" fontId="12" fillId="0" borderId="0" xfId="0" applyNumberFormat="1" applyFont="1" applyAlignment="1">
      <alignment vertical="center"/>
    </xf>
    <xf numFmtId="168" fontId="15" fillId="0" borderId="25" xfId="0" applyNumberFormat="1" applyFont="1" applyBorder="1"/>
    <xf numFmtId="168" fontId="15" fillId="0" borderId="25" xfId="0" applyNumberFormat="1" applyFont="1" applyBorder="1" applyAlignment="1">
      <alignment horizontal="center"/>
    </xf>
    <xf numFmtId="168" fontId="12" fillId="0" borderId="0" xfId="10" applyNumberFormat="1" applyFont="1" applyAlignment="1">
      <alignment horizontal="center"/>
    </xf>
    <xf numFmtId="168" fontId="12" fillId="0" borderId="0" xfId="0" applyNumberFormat="1" applyFont="1" applyAlignment="1">
      <alignment horizontal="center"/>
    </xf>
    <xf numFmtId="168" fontId="15" fillId="0" borderId="0" xfId="0" applyNumberFormat="1" applyFont="1" applyBorder="1"/>
    <xf numFmtId="0" fontId="12" fillId="0" borderId="22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168" fontId="16" fillId="0" borderId="22" xfId="0" applyNumberFormat="1" applyFont="1" applyBorder="1" applyAlignment="1">
      <alignment vertical="center"/>
    </xf>
    <xf numFmtId="168" fontId="12" fillId="0" borderId="22" xfId="0" applyNumberFormat="1" applyFont="1" applyBorder="1"/>
    <xf numFmtId="0" fontId="16" fillId="6" borderId="25" xfId="0" applyFont="1" applyFill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168" fontId="16" fillId="0" borderId="25" xfId="0" applyNumberFormat="1" applyFont="1" applyBorder="1" applyAlignment="1">
      <alignment vertical="center"/>
    </xf>
    <xf numFmtId="0" fontId="0" fillId="6" borderId="0" xfId="0" applyFill="1" applyAlignment="1">
      <alignment horizontal="center" vertical="center"/>
    </xf>
    <xf numFmtId="176" fontId="15" fillId="0" borderId="0" xfId="0" applyNumberFormat="1" applyFont="1" applyAlignment="1">
      <alignment horizontal="center"/>
    </xf>
    <xf numFmtId="0" fontId="12" fillId="0" borderId="0" xfId="0" applyFont="1" applyAlignment="1">
      <alignment wrapText="1"/>
    </xf>
    <xf numFmtId="176" fontId="12" fillId="0" borderId="0" xfId="0" applyNumberFormat="1" applyFont="1" applyAlignment="1">
      <alignment horizontal="center"/>
    </xf>
    <xf numFmtId="1" fontId="15" fillId="0" borderId="25" xfId="0" applyNumberFormat="1" applyFont="1" applyBorder="1" applyAlignment="1">
      <alignment horizontal="center"/>
    </xf>
    <xf numFmtId="169" fontId="12" fillId="0" borderId="0" xfId="0" applyNumberFormat="1" applyFont="1" applyAlignment="1">
      <alignment horizontal="center"/>
    </xf>
    <xf numFmtId="0" fontId="15" fillId="0" borderId="22" xfId="0" applyFont="1" applyBorder="1"/>
    <xf numFmtId="176" fontId="15" fillId="0" borderId="22" xfId="0" applyNumberFormat="1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176" fontId="0" fillId="0" borderId="0" xfId="0" applyNumberFormat="1"/>
    <xf numFmtId="176" fontId="15" fillId="0" borderId="0" xfId="0" applyNumberFormat="1" applyFont="1"/>
    <xf numFmtId="0" fontId="16" fillId="6" borderId="31" xfId="0" applyFont="1" applyFill="1" applyBorder="1" applyAlignment="1">
      <alignment horizontal="center" vertical="center"/>
    </xf>
    <xf numFmtId="176" fontId="16" fillId="6" borderId="31" xfId="0" applyNumberFormat="1" applyFont="1" applyFill="1" applyBorder="1" applyAlignment="1">
      <alignment horizontal="right" vertical="center"/>
    </xf>
    <xf numFmtId="168" fontId="16" fillId="6" borderId="31" xfId="0" applyNumberFormat="1" applyFont="1" applyFill="1" applyBorder="1" applyAlignment="1">
      <alignment horizontal="right" vertical="center"/>
    </xf>
    <xf numFmtId="0" fontId="16" fillId="6" borderId="31" xfId="0" applyFont="1" applyFill="1" applyBorder="1" applyAlignment="1">
      <alignment horizontal="right" vertical="center"/>
    </xf>
    <xf numFmtId="169" fontId="16" fillId="6" borderId="31" xfId="0" applyNumberFormat="1" applyFont="1" applyFill="1" applyBorder="1" applyAlignment="1">
      <alignment horizontal="right" vertical="center"/>
    </xf>
    <xf numFmtId="169" fontId="15" fillId="0" borderId="0" xfId="0" applyNumberFormat="1" applyFont="1" applyAlignment="1">
      <alignment horizontal="center"/>
    </xf>
    <xf numFmtId="0" fontId="0" fillId="3" borderId="0" xfId="0" applyFill="1" applyBorder="1"/>
    <xf numFmtId="0" fontId="0" fillId="6" borderId="20" xfId="0" applyFill="1" applyBorder="1"/>
    <xf numFmtId="0" fontId="0" fillId="6" borderId="20" xfId="0" applyFill="1" applyBorder="1" applyAlignment="1">
      <alignment horizontal="center"/>
    </xf>
    <xf numFmtId="0" fontId="19" fillId="9" borderId="22" xfId="0" applyFont="1" applyFill="1" applyBorder="1" applyAlignment="1">
      <alignment horizontal="left" vertical="center"/>
    </xf>
    <xf numFmtId="176" fontId="15" fillId="0" borderId="22" xfId="0" applyNumberFormat="1" applyFont="1" applyBorder="1"/>
    <xf numFmtId="1" fontId="15" fillId="0" borderId="25" xfId="0" applyNumberFormat="1" applyFont="1" applyBorder="1"/>
    <xf numFmtId="176" fontId="15" fillId="6" borderId="31" xfId="0" applyNumberFormat="1" applyFont="1" applyFill="1" applyBorder="1"/>
    <xf numFmtId="168" fontId="15" fillId="6" borderId="31" xfId="0" applyNumberFormat="1" applyFont="1" applyFill="1" applyBorder="1"/>
    <xf numFmtId="0" fontId="15" fillId="6" borderId="31" xfId="0" applyFont="1" applyFill="1" applyBorder="1"/>
    <xf numFmtId="0" fontId="0" fillId="6" borderId="20" xfId="0" applyFill="1" applyBorder="1" applyAlignment="1">
      <alignment horizontal="center" vertical="center"/>
    </xf>
    <xf numFmtId="0" fontId="15" fillId="0" borderId="20" xfId="0" applyFont="1" applyBorder="1" applyAlignment="1">
      <alignment horizontal="left" vertical="center"/>
    </xf>
    <xf numFmtId="0" fontId="12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5" fillId="6" borderId="20" xfId="0" applyFont="1" applyFill="1" applyBorder="1" applyAlignment="1">
      <alignment horizontal="left" vertical="center" wrapText="1"/>
    </xf>
    <xf numFmtId="0" fontId="15" fillId="6" borderId="20" xfId="0" applyFont="1" applyFill="1" applyBorder="1" applyAlignment="1">
      <alignment horizontal="center" vertical="center" wrapText="1"/>
    </xf>
    <xf numFmtId="177" fontId="0" fillId="0" borderId="0" xfId="0" applyNumberFormat="1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177" fontId="15" fillId="0" borderId="25" xfId="0" applyNumberFormat="1" applyFont="1" applyBorder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5" fillId="0" borderId="25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0" fontId="15" fillId="6" borderId="0" xfId="0" applyFont="1" applyFill="1" applyAlignment="1">
      <alignment horizontal="left" vertical="center" wrapText="1"/>
    </xf>
    <xf numFmtId="3" fontId="15" fillId="6" borderId="0" xfId="0" applyNumberFormat="1" applyFont="1" applyFill="1" applyAlignment="1">
      <alignment horizontal="center" vertical="center"/>
    </xf>
    <xf numFmtId="177" fontId="15" fillId="6" borderId="0" xfId="0" applyNumberFormat="1" applyFont="1" applyFill="1" applyAlignment="1">
      <alignment horizontal="center" vertical="center"/>
    </xf>
    <xf numFmtId="168" fontId="15" fillId="6" borderId="0" xfId="0" applyNumberFormat="1" applyFont="1" applyFill="1" applyAlignment="1">
      <alignment horizontal="center" vertical="center"/>
    </xf>
    <xf numFmtId="0" fontId="12" fillId="0" borderId="25" xfId="0" applyFont="1" applyBorder="1" applyAlignment="1">
      <alignment horizontal="left" vertical="center" wrapText="1"/>
    </xf>
    <xf numFmtId="0" fontId="0" fillId="0" borderId="25" xfId="0" applyFont="1" applyBorder="1"/>
  </cellXfs>
  <cellStyles count="12">
    <cellStyle name="Comma" xfId="1" builtinId="3"/>
    <cellStyle name="Excel Built-in Normal" xfId="3" xr:uid="{001729F4-5ACC-4104-A653-55471EC159A8}"/>
    <cellStyle name="Normal" xfId="0" builtinId="0"/>
    <cellStyle name="Normal 10 17" xfId="4" xr:uid="{5B315352-6F17-456B-82B0-65B44BC55EFF}"/>
    <cellStyle name="Normal 2" xfId="2" xr:uid="{6D36085F-648D-43A8-AB1A-88508A194879}"/>
    <cellStyle name="Percent" xfId="10" builtinId="5"/>
    <cellStyle name="Porcentagem 2" xfId="5" xr:uid="{A9A3947E-7A61-4108-8C10-682F9B9FB178}"/>
    <cellStyle name="Porcentagem 3" xfId="8" xr:uid="{C1FCFC8C-8169-485B-82C0-0308CFB08979}"/>
    <cellStyle name="TableStyleLight1" xfId="9" xr:uid="{C78E8FE4-804C-4B1C-906E-C59D6C8CDCFD}"/>
    <cellStyle name="Vírgula 12" xfId="7" xr:uid="{B2194CD6-509D-462D-AD25-EB094A3771E3}"/>
    <cellStyle name="Vírgula 2" xfId="6" xr:uid="{8F9DFE5A-2819-42F0-81B1-2AB9FDA076A1}"/>
    <cellStyle name="Vírgula 3" xfId="11" xr:uid="{A73EE5A9-755B-491E-A699-58F7F7D06C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189699</xdr:colOff>
      <xdr:row>0</xdr:row>
      <xdr:rowOff>149680</xdr:rowOff>
    </xdr:from>
    <xdr:to>
      <xdr:col>20</xdr:col>
      <xdr:colOff>431745</xdr:colOff>
      <xdr:row>28</xdr:row>
      <xdr:rowOff>22772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D1BD29-7CAF-23CB-CCBE-8F6066673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699" y="149680"/>
          <a:ext cx="14650773" cy="5045456"/>
        </a:xfrm>
        <a:prstGeom prst="rect">
          <a:avLst/>
        </a:prstGeom>
      </xdr:spPr>
    </xdr:pic>
    <xdr:clientData/>
  </xdr:twoCellAnchor>
  <xdr:twoCellAnchor editAs="oneCell">
    <xdr:from>
      <xdr:col>0</xdr:col>
      <xdr:colOff>96050</xdr:colOff>
      <xdr:row>28</xdr:row>
      <xdr:rowOff>54429</xdr:rowOff>
    </xdr:from>
    <xdr:to>
      <xdr:col>20</xdr:col>
      <xdr:colOff>420574</xdr:colOff>
      <xdr:row>57</xdr:row>
      <xdr:rowOff>161895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2AC607-49BF-5C2A-0B7C-856B74960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50" y="5388429"/>
          <a:ext cx="14455142" cy="56300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</xdr:colOff>
      <xdr:row>2</xdr:row>
      <xdr:rowOff>145908</xdr:rowOff>
    </xdr:from>
    <xdr:ext cx="2828149" cy="648190"/>
    <xdr:pic>
      <xdr:nvPicPr>
        <xdr:cNvPr id="2" name="Imagem 1">
          <a:extLst>
            <a:ext uri="{FF2B5EF4-FFF2-40B4-BE49-F238E27FC236}">
              <a16:creationId xmlns:a16="http://schemas.microsoft.com/office/drawing/2014/main" id="{9320E59F-F1FC-4219-BBFE-B9C6BAF5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129" y="512797"/>
          <a:ext cx="2828149" cy="64819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596900</xdr:colOff>
      <xdr:row>1</xdr:row>
      <xdr:rowOff>177800</xdr:rowOff>
    </xdr:from>
    <xdr:ext cx="2828149" cy="648190"/>
    <xdr:pic>
      <xdr:nvPicPr>
        <xdr:cNvPr id="2" name="Imagem 1">
          <a:extLst>
            <a:ext uri="{FF2B5EF4-FFF2-40B4-BE49-F238E27FC236}">
              <a16:creationId xmlns:a16="http://schemas.microsoft.com/office/drawing/2014/main" id="{EE33DAB4-AF20-4113-A50E-05B55628B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900" y="361950"/>
          <a:ext cx="2828149" cy="64819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5</xdr:col>
      <xdr:colOff>2004458</xdr:colOff>
      <xdr:row>47</xdr:row>
      <xdr:rowOff>123317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9D942E-5CF8-02DD-9745-DC34191E7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913" y="2650435"/>
          <a:ext cx="9383434" cy="5258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BD8A-FBE8-4539-94FA-585B4DCA3EA5}">
  <dimension ref="C2"/>
  <sheetViews>
    <sheetView showGridLines="0" tabSelected="1" zoomScale="70" zoomScaleNormal="70" workbookViewId="0">
      <selection activeCell="Z46" sqref="Z46"/>
    </sheetView>
  </sheetViews>
  <sheetFormatPr defaultColWidth="8.81640625" defaultRowHeight="14.5" x14ac:dyDescent="0.35"/>
  <cols>
    <col min="3" max="3" width="16.453125" customWidth="1"/>
    <col min="4" max="4" width="32" bestFit="1" customWidth="1"/>
  </cols>
  <sheetData>
    <row r="2" spans="3:3" x14ac:dyDescent="0.35">
      <c r="C2" s="6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7449-9A87-47F1-8BBE-D97626856162}">
  <dimension ref="B4:K89"/>
  <sheetViews>
    <sheetView showGridLines="0" zoomScale="90" zoomScaleNormal="90" workbookViewId="0">
      <selection activeCell="E12" sqref="E12:I17"/>
    </sheetView>
  </sheetViews>
  <sheetFormatPr defaultColWidth="8.90625" defaultRowHeight="14.5" x14ac:dyDescent="0.35"/>
  <cols>
    <col min="1" max="1" width="7.54296875" customWidth="1"/>
    <col min="2" max="2" width="22.7265625" customWidth="1"/>
    <col min="3" max="3" width="10.54296875" customWidth="1"/>
    <col min="4" max="4" width="11.1796875" bestFit="1" customWidth="1"/>
    <col min="5" max="5" width="12.26953125" customWidth="1"/>
    <col min="6" max="6" width="11" customWidth="1"/>
    <col min="7" max="7" width="12.7265625" customWidth="1"/>
    <col min="8" max="8" width="20.81640625" customWidth="1"/>
    <col min="9" max="9" width="10.81640625" bestFit="1" customWidth="1"/>
    <col min="10" max="10" width="8.6328125" customWidth="1"/>
    <col min="11" max="11" width="12.6328125" bestFit="1" customWidth="1"/>
  </cols>
  <sheetData>
    <row r="4" spans="2:11" ht="26" x14ac:dyDescent="0.6">
      <c r="G4" s="103" t="s">
        <v>95</v>
      </c>
    </row>
    <row r="5" spans="2:11" x14ac:dyDescent="0.35">
      <c r="G5" s="102" t="s">
        <v>98</v>
      </c>
    </row>
    <row r="9" spans="2:11" x14ac:dyDescent="0.35">
      <c r="C9" s="108"/>
      <c r="D9" s="108"/>
      <c r="E9" s="108"/>
      <c r="F9" s="108"/>
      <c r="G9" s="108"/>
    </row>
    <row r="10" spans="2:11" ht="18.5" x14ac:dyDescent="0.35">
      <c r="B10" s="206" t="s">
        <v>97</v>
      </c>
      <c r="C10" s="206"/>
      <c r="D10" s="206"/>
      <c r="E10" s="206"/>
      <c r="F10" s="206"/>
      <c r="G10" s="206"/>
      <c r="H10" s="206"/>
      <c r="I10" s="206"/>
      <c r="J10" s="206"/>
      <c r="K10" s="206"/>
    </row>
    <row r="11" spans="2:11" ht="16" customHeight="1" x14ac:dyDescent="0.35">
      <c r="B11" s="104"/>
    </row>
    <row r="12" spans="2:11" x14ac:dyDescent="0.35">
      <c r="B12" s="111" t="s">
        <v>99</v>
      </c>
      <c r="C12" s="111"/>
      <c r="E12" s="111" t="s">
        <v>110</v>
      </c>
      <c r="F12" s="111"/>
      <c r="G12" s="111"/>
      <c r="H12" s="111"/>
      <c r="I12" s="111"/>
    </row>
    <row r="13" spans="2:11" x14ac:dyDescent="0.35">
      <c r="B13" s="168" t="s">
        <v>100</v>
      </c>
      <c r="C13" s="168">
        <v>127</v>
      </c>
      <c r="E13" s="102" t="s">
        <v>104</v>
      </c>
      <c r="I13" s="137" t="s">
        <v>105</v>
      </c>
    </row>
    <row r="14" spans="2:11" x14ac:dyDescent="0.35">
      <c r="B14" s="113" t="s">
        <v>103</v>
      </c>
      <c r="C14" s="113">
        <v>127</v>
      </c>
      <c r="E14" s="102" t="s">
        <v>106</v>
      </c>
      <c r="I14" s="137" t="s">
        <v>107</v>
      </c>
    </row>
    <row r="15" spans="2:11" x14ac:dyDescent="0.35">
      <c r="B15" s="102"/>
      <c r="C15" s="102"/>
      <c r="E15" s="134" t="s">
        <v>108</v>
      </c>
      <c r="F15" s="134"/>
      <c r="G15" s="134"/>
      <c r="H15" s="134"/>
      <c r="I15" s="115">
        <v>0.13800000000000001</v>
      </c>
    </row>
    <row r="16" spans="2:11" x14ac:dyDescent="0.35">
      <c r="B16" s="168" t="s">
        <v>101</v>
      </c>
      <c r="C16" s="168">
        <v>127</v>
      </c>
      <c r="E16" s="102" t="s">
        <v>141</v>
      </c>
      <c r="I16" s="115">
        <v>0.4</v>
      </c>
    </row>
    <row r="17" spans="2:11" x14ac:dyDescent="0.35">
      <c r="B17" s="102" t="s">
        <v>103</v>
      </c>
      <c r="C17" s="102">
        <v>127</v>
      </c>
      <c r="E17" s="136" t="s">
        <v>109</v>
      </c>
      <c r="F17" s="136"/>
      <c r="G17" s="136"/>
      <c r="H17" s="136"/>
      <c r="I17" s="116">
        <v>0.34</v>
      </c>
    </row>
    <row r="18" spans="2:11" ht="8.5" customHeight="1" x14ac:dyDescent="0.35">
      <c r="B18" s="102"/>
      <c r="C18" s="102"/>
    </row>
    <row r="19" spans="2:11" x14ac:dyDescent="0.35">
      <c r="B19" s="168" t="s">
        <v>102</v>
      </c>
      <c r="C19" s="168">
        <v>254</v>
      </c>
    </row>
    <row r="20" spans="2:11" x14ac:dyDescent="0.35">
      <c r="B20" s="113" t="s">
        <v>137</v>
      </c>
      <c r="C20" s="167">
        <f>C16/C19</f>
        <v>0.5</v>
      </c>
    </row>
    <row r="21" spans="2:11" x14ac:dyDescent="0.35">
      <c r="B21" s="113" t="s">
        <v>101</v>
      </c>
      <c r="C21" s="167">
        <f>C16/C19</f>
        <v>0.5</v>
      </c>
    </row>
    <row r="22" spans="2:11" x14ac:dyDescent="0.35">
      <c r="B22" s="102"/>
      <c r="C22" s="102"/>
    </row>
    <row r="23" spans="2:11" x14ac:dyDescent="0.35">
      <c r="B23" s="168" t="s">
        <v>112</v>
      </c>
      <c r="C23" s="168">
        <v>800</v>
      </c>
    </row>
    <row r="24" spans="2:11" x14ac:dyDescent="0.35">
      <c r="B24" s="102" t="s">
        <v>113</v>
      </c>
      <c r="C24" s="102">
        <v>822</v>
      </c>
    </row>
    <row r="26" spans="2:11" ht="18.5" x14ac:dyDescent="0.35">
      <c r="B26" s="206" t="s">
        <v>138</v>
      </c>
      <c r="C26" s="206"/>
      <c r="D26" s="206"/>
      <c r="E26" s="206"/>
      <c r="F26" s="206"/>
      <c r="G26" s="206"/>
      <c r="H26" s="206"/>
      <c r="I26" s="206"/>
      <c r="J26" s="206"/>
      <c r="K26" s="206"/>
    </row>
    <row r="28" spans="2:11" x14ac:dyDescent="0.35">
      <c r="B28" s="111" t="s">
        <v>114</v>
      </c>
      <c r="C28" s="111"/>
      <c r="D28" s="111"/>
    </row>
    <row r="29" spans="2:11" x14ac:dyDescent="0.35">
      <c r="B29" s="120"/>
      <c r="C29" s="121" t="s">
        <v>115</v>
      </c>
      <c r="D29" s="122" t="s">
        <v>116</v>
      </c>
    </row>
    <row r="30" spans="2:11" x14ac:dyDescent="0.35">
      <c r="B30" s="102" t="s">
        <v>100</v>
      </c>
      <c r="C30" s="123">
        <v>0.5</v>
      </c>
      <c r="D30" s="124">
        <f>C30*(1-I15)</f>
        <v>0.43099999999999999</v>
      </c>
    </row>
    <row r="31" spans="2:11" x14ac:dyDescent="0.35">
      <c r="B31" s="102" t="s">
        <v>101</v>
      </c>
      <c r="C31" s="123">
        <v>0.5</v>
      </c>
      <c r="D31" s="124">
        <f>C31*(1-I15)</f>
        <v>0.43099999999999999</v>
      </c>
    </row>
    <row r="32" spans="2:11" x14ac:dyDescent="0.35">
      <c r="B32" t="s">
        <v>111</v>
      </c>
      <c r="C32" s="118" t="s">
        <v>96</v>
      </c>
      <c r="D32" s="125">
        <f>I15</f>
        <v>0.13800000000000001</v>
      </c>
    </row>
    <row r="33" spans="2:10" x14ac:dyDescent="0.35">
      <c r="D33" s="174">
        <f>SUM(D30:D32)</f>
        <v>1</v>
      </c>
    </row>
    <row r="34" spans="2:10" x14ac:dyDescent="0.35">
      <c r="D34" s="178"/>
    </row>
    <row r="35" spans="2:10" x14ac:dyDescent="0.35">
      <c r="B35" s="111" t="s">
        <v>119</v>
      </c>
      <c r="C35" s="111"/>
      <c r="D35" s="111"/>
    </row>
    <row r="36" spans="2:10" x14ac:dyDescent="0.35">
      <c r="B36" s="126" t="s">
        <v>102</v>
      </c>
      <c r="C36" s="112">
        <f>C19</f>
        <v>254</v>
      </c>
      <c r="D36" s="119">
        <f>C36/C$38</f>
        <v>0.23605947955390336</v>
      </c>
    </row>
    <row r="37" spans="2:10" x14ac:dyDescent="0.35">
      <c r="B37" s="126" t="s">
        <v>112</v>
      </c>
      <c r="C37" s="112">
        <f>C24</f>
        <v>822</v>
      </c>
      <c r="D37" s="119">
        <f>C37/C$38</f>
        <v>0.76394052044609662</v>
      </c>
    </row>
    <row r="38" spans="2:10" x14ac:dyDescent="0.35">
      <c r="B38" s="128" t="s">
        <v>117</v>
      </c>
      <c r="C38" s="128">
        <f>C36+C37</f>
        <v>1076</v>
      </c>
      <c r="D38" s="129">
        <f>D36+D37</f>
        <v>1</v>
      </c>
    </row>
    <row r="40" spans="2:10" x14ac:dyDescent="0.35">
      <c r="B40" s="132" t="s">
        <v>118</v>
      </c>
      <c r="C40" s="132">
        <f>C41+C42+C43</f>
        <v>1076</v>
      </c>
    </row>
    <row r="41" spans="2:10" x14ac:dyDescent="0.35">
      <c r="B41" s="102" t="s">
        <v>100</v>
      </c>
      <c r="C41" s="169">
        <f>D30*C38</f>
        <v>463.75599999999997</v>
      </c>
    </row>
    <row r="42" spans="2:10" x14ac:dyDescent="0.35">
      <c r="B42" s="102" t="s">
        <v>101</v>
      </c>
      <c r="C42" s="169">
        <f>D31*C38</f>
        <v>463.75599999999997</v>
      </c>
    </row>
    <row r="43" spans="2:10" x14ac:dyDescent="0.35">
      <c r="B43" s="102" t="s">
        <v>139</v>
      </c>
      <c r="C43" s="169">
        <f>D32*C38</f>
        <v>148.488</v>
      </c>
    </row>
    <row r="45" spans="2:10" x14ac:dyDescent="0.35">
      <c r="B45" s="111" t="s">
        <v>120</v>
      </c>
      <c r="C45" s="111"/>
      <c r="D45" s="111"/>
      <c r="E45" s="111"/>
      <c r="F45" s="111"/>
      <c r="H45" s="111" t="s">
        <v>131</v>
      </c>
      <c r="I45" s="111"/>
      <c r="J45" s="111"/>
    </row>
    <row r="46" spans="2:10" x14ac:dyDescent="0.35">
      <c r="B46" s="143"/>
      <c r="C46" s="143"/>
      <c r="D46" s="144" t="s">
        <v>100</v>
      </c>
      <c r="E46" s="144" t="s">
        <v>101</v>
      </c>
      <c r="F46" s="145" t="s">
        <v>122</v>
      </c>
      <c r="H46" s="166"/>
      <c r="I46" s="144" t="s">
        <v>133</v>
      </c>
      <c r="J46" s="144" t="s">
        <v>134</v>
      </c>
    </row>
    <row r="47" spans="2:10" x14ac:dyDescent="0.35">
      <c r="B47" s="146" t="s">
        <v>121</v>
      </c>
      <c r="C47" s="146"/>
      <c r="D47" s="130">
        <f>C14</f>
        <v>127</v>
      </c>
      <c r="E47" s="147">
        <f>C14</f>
        <v>127</v>
      </c>
      <c r="F47" s="148">
        <f>D47+E47</f>
        <v>254</v>
      </c>
      <c r="H47" s="102" t="s">
        <v>132</v>
      </c>
      <c r="I47" s="140">
        <f>D48</f>
        <v>411</v>
      </c>
      <c r="J47" s="102"/>
    </row>
    <row r="48" spans="2:10" x14ac:dyDescent="0.35">
      <c r="B48" s="134" t="s">
        <v>123</v>
      </c>
      <c r="C48" s="134"/>
      <c r="D48" s="102">
        <f>C37/2</f>
        <v>411</v>
      </c>
      <c r="E48" s="140">
        <f>C37/2</f>
        <v>411</v>
      </c>
      <c r="F48" s="117">
        <f>D48+E48</f>
        <v>822</v>
      </c>
      <c r="H48" s="102" t="s">
        <v>135</v>
      </c>
      <c r="I48" s="140"/>
      <c r="J48" s="163">
        <f>D49</f>
        <v>-74.244</v>
      </c>
    </row>
    <row r="49" spans="2:11" x14ac:dyDescent="0.35">
      <c r="B49" s="134" t="s">
        <v>124</v>
      </c>
      <c r="C49" s="134"/>
      <c r="D49" s="141">
        <f>-(D47+D48)*I15</f>
        <v>-74.244</v>
      </c>
      <c r="E49" s="142">
        <f>-(E47+E48)*I15</f>
        <v>-74.244</v>
      </c>
      <c r="F49" s="139">
        <f>D49+E49</f>
        <v>-148.488</v>
      </c>
      <c r="H49" s="155" t="s">
        <v>136</v>
      </c>
      <c r="I49" s="155"/>
      <c r="J49" s="157">
        <f>I47+J48</f>
        <v>336.75599999999997</v>
      </c>
    </row>
    <row r="50" spans="2:11" x14ac:dyDescent="0.35">
      <c r="B50" s="149" t="s">
        <v>125</v>
      </c>
      <c r="C50" s="149"/>
      <c r="D50" s="150">
        <f>D48+D49</f>
        <v>336.75599999999997</v>
      </c>
      <c r="E50" s="151">
        <f>E48+E49</f>
        <v>336.75599999999997</v>
      </c>
      <c r="F50" s="150">
        <f>D50+E50</f>
        <v>673.51199999999994</v>
      </c>
    </row>
    <row r="51" spans="2:11" x14ac:dyDescent="0.35">
      <c r="B51" s="153"/>
      <c r="C51" s="153"/>
      <c r="D51" s="154"/>
      <c r="E51" s="154"/>
      <c r="F51" s="154"/>
    </row>
    <row r="52" spans="2:11" x14ac:dyDescent="0.35">
      <c r="B52" s="111" t="s">
        <v>129</v>
      </c>
      <c r="C52" s="111"/>
      <c r="D52" s="111"/>
      <c r="E52" s="111"/>
      <c r="F52" s="161"/>
    </row>
    <row r="53" spans="2:11" x14ac:dyDescent="0.35">
      <c r="B53" s="158" t="s">
        <v>126</v>
      </c>
      <c r="C53" s="158"/>
      <c r="D53" s="159" t="s">
        <v>130</v>
      </c>
      <c r="E53" s="159">
        <f>2*(D54+D55)</f>
        <v>927.51199999999994</v>
      </c>
      <c r="F53" s="162"/>
    </row>
    <row r="54" spans="2:11" x14ac:dyDescent="0.35">
      <c r="B54" s="135" t="s">
        <v>127</v>
      </c>
      <c r="C54" s="135"/>
      <c r="D54" s="156">
        <f>C14</f>
        <v>127</v>
      </c>
      <c r="E54" s="156">
        <f>C17</f>
        <v>127</v>
      </c>
      <c r="F54" s="162"/>
    </row>
    <row r="55" spans="2:11" x14ac:dyDescent="0.35">
      <c r="B55" s="136" t="s">
        <v>128</v>
      </c>
      <c r="C55" s="136"/>
      <c r="D55" s="160">
        <f>D50</f>
        <v>336.75599999999997</v>
      </c>
      <c r="E55" s="160">
        <f>E50</f>
        <v>336.75599999999997</v>
      </c>
      <c r="F55" s="162"/>
    </row>
    <row r="56" spans="2:11" x14ac:dyDescent="0.35">
      <c r="D56" s="138"/>
      <c r="E56" s="138"/>
      <c r="F56" s="162"/>
    </row>
    <row r="58" spans="2:11" ht="18.5" x14ac:dyDescent="0.35">
      <c r="B58" s="206" t="s">
        <v>142</v>
      </c>
      <c r="C58" s="206"/>
      <c r="D58" s="206"/>
      <c r="E58" s="206"/>
      <c r="F58" s="206"/>
      <c r="G58" s="206"/>
      <c r="H58" s="206"/>
      <c r="I58" s="206"/>
      <c r="J58" s="206"/>
      <c r="K58" s="206"/>
    </row>
    <row r="60" spans="2:11" x14ac:dyDescent="0.35">
      <c r="B60" s="180" t="s">
        <v>157</v>
      </c>
      <c r="C60" s="180"/>
      <c r="D60" s="181">
        <f>D30</f>
        <v>0.43099999999999999</v>
      </c>
    </row>
    <row r="61" spans="2:11" ht="5.5" customHeight="1" x14ac:dyDescent="0.35">
      <c r="B61" s="172"/>
      <c r="C61" s="172"/>
      <c r="D61" s="173"/>
    </row>
    <row r="62" spans="2:11" x14ac:dyDescent="0.35">
      <c r="B62" s="183" t="s">
        <v>140</v>
      </c>
      <c r="C62" s="183"/>
      <c r="D62" s="129">
        <f>I16</f>
        <v>0.4</v>
      </c>
    </row>
    <row r="63" spans="2:11" x14ac:dyDescent="0.35">
      <c r="B63" s="179" t="s">
        <v>143</v>
      </c>
      <c r="C63" s="179"/>
      <c r="D63" s="182">
        <f>I15</f>
        <v>0.13800000000000001</v>
      </c>
    </row>
    <row r="64" spans="2:11" x14ac:dyDescent="0.35">
      <c r="B64" s="155" t="s">
        <v>144</v>
      </c>
      <c r="C64" s="155"/>
      <c r="D64" s="174">
        <f>D62-D63</f>
        <v>0.26200000000000001</v>
      </c>
    </row>
    <row r="65" spans="2:11" x14ac:dyDescent="0.35">
      <c r="B65" s="136" t="s">
        <v>156</v>
      </c>
      <c r="C65" s="136"/>
      <c r="D65" s="116">
        <f>D64/2</f>
        <v>0.13100000000000001</v>
      </c>
    </row>
    <row r="66" spans="2:11" x14ac:dyDescent="0.35">
      <c r="B66" s="165" t="s">
        <v>154</v>
      </c>
      <c r="C66" s="165"/>
      <c r="D66" s="170">
        <v>1200</v>
      </c>
    </row>
    <row r="67" spans="2:11" x14ac:dyDescent="0.35">
      <c r="B67" s="134" t="s">
        <v>100</v>
      </c>
      <c r="C67" s="134"/>
      <c r="D67" s="171">
        <f>D66/2</f>
        <v>600</v>
      </c>
    </row>
    <row r="68" spans="2:11" x14ac:dyDescent="0.35">
      <c r="B68" s="134" t="s">
        <v>101</v>
      </c>
      <c r="C68" s="134"/>
      <c r="D68" s="171">
        <f>D66/2</f>
        <v>600</v>
      </c>
    </row>
    <row r="69" spans="2:11" x14ac:dyDescent="0.35">
      <c r="B69" s="184" t="s">
        <v>158</v>
      </c>
      <c r="C69" s="184"/>
      <c r="D69" s="185">
        <f>D65/D60</f>
        <v>0.30394431554524365</v>
      </c>
    </row>
    <row r="70" spans="2:11" x14ac:dyDescent="0.35">
      <c r="D70" s="173"/>
    </row>
    <row r="71" spans="2:11" x14ac:dyDescent="0.35">
      <c r="B71" s="111" t="s">
        <v>149</v>
      </c>
      <c r="C71" s="111"/>
      <c r="D71" s="111"/>
      <c r="E71" s="111"/>
      <c r="F71" s="111"/>
    </row>
    <row r="72" spans="2:11" x14ac:dyDescent="0.35">
      <c r="B72" s="120"/>
      <c r="C72" s="122" t="s">
        <v>146</v>
      </c>
      <c r="D72" s="186" t="s">
        <v>147</v>
      </c>
      <c r="E72" s="186"/>
      <c r="F72" s="122" t="s">
        <v>148</v>
      </c>
    </row>
    <row r="73" spans="2:11" x14ac:dyDescent="0.35">
      <c r="B73" s="102" t="s">
        <v>100</v>
      </c>
      <c r="C73" s="115">
        <f>D30</f>
        <v>0.43099999999999999</v>
      </c>
      <c r="D73" s="176">
        <f>-D64/2</f>
        <v>-0.13100000000000001</v>
      </c>
      <c r="E73" s="176"/>
      <c r="F73" s="125">
        <f>C73+D73</f>
        <v>0.3</v>
      </c>
    </row>
    <row r="74" spans="2:11" x14ac:dyDescent="0.35">
      <c r="B74" s="171" t="s">
        <v>101</v>
      </c>
      <c r="C74" s="173">
        <f>D31</f>
        <v>0.43099999999999999</v>
      </c>
      <c r="D74" s="176">
        <f>-D64/2</f>
        <v>-0.13100000000000001</v>
      </c>
      <c r="E74" s="176"/>
      <c r="F74" s="125">
        <f>C74+D74</f>
        <v>0.3</v>
      </c>
    </row>
    <row r="75" spans="2:11" x14ac:dyDescent="0.35">
      <c r="B75" s="102" t="s">
        <v>139</v>
      </c>
      <c r="C75" s="115">
        <f>D32</f>
        <v>0.13800000000000001</v>
      </c>
      <c r="D75" s="177">
        <f>D64</f>
        <v>0.26200000000000001</v>
      </c>
      <c r="E75" s="133"/>
      <c r="F75" s="125">
        <f>C75+D75</f>
        <v>0.4</v>
      </c>
    </row>
    <row r="76" spans="2:11" x14ac:dyDescent="0.35">
      <c r="B76" s="127" t="s">
        <v>145</v>
      </c>
      <c r="C76" s="174">
        <f>SUM(C73:C75)</f>
        <v>1</v>
      </c>
      <c r="D76" s="175">
        <f>SUM(D73:E75)</f>
        <v>0</v>
      </c>
      <c r="E76" s="164"/>
      <c r="F76" s="174">
        <f>SUM(F73:F75)</f>
        <v>1</v>
      </c>
    </row>
    <row r="78" spans="2:11" x14ac:dyDescent="0.35">
      <c r="B78" s="111" t="s">
        <v>166</v>
      </c>
      <c r="C78" s="111"/>
      <c r="D78" s="111"/>
      <c r="E78" s="111"/>
      <c r="F78" s="111"/>
      <c r="G78" s="111"/>
      <c r="I78" s="111" t="s">
        <v>167</v>
      </c>
      <c r="J78" s="111"/>
      <c r="K78" s="111"/>
    </row>
    <row r="79" spans="2:11" x14ac:dyDescent="0.35">
      <c r="B79" s="204" t="s">
        <v>152</v>
      </c>
      <c r="C79" s="205" t="s">
        <v>151</v>
      </c>
      <c r="D79" s="205"/>
      <c r="E79" s="205" t="s">
        <v>150</v>
      </c>
      <c r="F79" s="205"/>
      <c r="G79" s="203"/>
      <c r="I79" s="212" t="s">
        <v>168</v>
      </c>
      <c r="J79" s="212" t="s">
        <v>169</v>
      </c>
    </row>
    <row r="80" spans="2:11" x14ac:dyDescent="0.35">
      <c r="B80" t="s">
        <v>153</v>
      </c>
      <c r="C80" s="109">
        <v>600</v>
      </c>
      <c r="D80" s="109"/>
      <c r="E80" s="109">
        <v>600</v>
      </c>
      <c r="F80" s="109"/>
      <c r="I80">
        <f>2*C80</f>
        <v>1200</v>
      </c>
      <c r="J80">
        <f>2*E80</f>
        <v>1200</v>
      </c>
    </row>
    <row r="81" spans="2:11" x14ac:dyDescent="0.35">
      <c r="B81" s="102" t="s">
        <v>155</v>
      </c>
      <c r="C81" s="133">
        <f>C14</f>
        <v>127</v>
      </c>
      <c r="D81" s="133"/>
      <c r="E81" s="191">
        <f>E53/2</f>
        <v>463.75599999999997</v>
      </c>
      <c r="F81" s="191"/>
      <c r="I81">
        <f>2*C81</f>
        <v>254</v>
      </c>
      <c r="J81" s="195">
        <f>2*E81</f>
        <v>927.51199999999994</v>
      </c>
    </row>
    <row r="82" spans="2:11" x14ac:dyDescent="0.35">
      <c r="B82" s="188" t="s">
        <v>159</v>
      </c>
      <c r="C82" s="189">
        <f>C81*D69</f>
        <v>38.600928074245942</v>
      </c>
      <c r="D82" s="189"/>
      <c r="E82" s="189">
        <f>E81*D69</f>
        <v>140.95600000000002</v>
      </c>
      <c r="F82" s="189"/>
      <c r="I82" s="195">
        <f>2*C82</f>
        <v>77.201856148491885</v>
      </c>
      <c r="J82" s="195">
        <f>2*E82</f>
        <v>281.91200000000003</v>
      </c>
    </row>
    <row r="83" spans="2:11" x14ac:dyDescent="0.35">
      <c r="B83" s="127" t="s">
        <v>160</v>
      </c>
      <c r="C83" s="190">
        <f>C80-C82</f>
        <v>561.39907192575401</v>
      </c>
      <c r="D83" s="190"/>
      <c r="E83" s="190">
        <f>E80-E82</f>
        <v>459.04399999999998</v>
      </c>
      <c r="F83" s="190"/>
      <c r="I83" s="208">
        <f>2*C83</f>
        <v>1122.798143851508</v>
      </c>
      <c r="J83" s="208">
        <f>2*E83</f>
        <v>918.08799999999997</v>
      </c>
    </row>
    <row r="84" spans="2:11" x14ac:dyDescent="0.35">
      <c r="C84" s="109"/>
      <c r="D84" s="109"/>
      <c r="E84" s="109"/>
      <c r="F84" s="109"/>
    </row>
    <row r="85" spans="2:11" x14ac:dyDescent="0.35">
      <c r="B85" s="102" t="s">
        <v>161</v>
      </c>
      <c r="C85" s="189">
        <f>C83*34%</f>
        <v>190.87568445475637</v>
      </c>
      <c r="D85" s="189"/>
      <c r="E85" s="189">
        <f>34%*E83</f>
        <v>156.07496</v>
      </c>
      <c r="F85" s="189"/>
      <c r="G85" s="197" t="s">
        <v>165</v>
      </c>
      <c r="I85" s="195">
        <f>2*C85</f>
        <v>381.75136890951273</v>
      </c>
      <c r="J85" s="195">
        <f>2*E85</f>
        <v>312.14992000000001</v>
      </c>
      <c r="K85" s="197" t="s">
        <v>165</v>
      </c>
    </row>
    <row r="86" spans="2:11" x14ac:dyDescent="0.35">
      <c r="B86" s="192" t="s">
        <v>162</v>
      </c>
      <c r="C86" s="193">
        <f>C80-C85</f>
        <v>409.12431554524363</v>
      </c>
      <c r="D86" s="194"/>
      <c r="E86" s="193">
        <f>E80-E85</f>
        <v>443.92503999999997</v>
      </c>
      <c r="F86" s="194"/>
      <c r="G86" s="198">
        <f>E86-C86</f>
        <v>34.800724454756335</v>
      </c>
      <c r="I86" s="207">
        <f>2*C86</f>
        <v>818.24863109048727</v>
      </c>
      <c r="J86" s="207">
        <f>2*E86</f>
        <v>887.85007999999993</v>
      </c>
      <c r="K86" s="209">
        <f>J86-I86</f>
        <v>69.601448909512669</v>
      </c>
    </row>
    <row r="87" spans="2:11" x14ac:dyDescent="0.35">
      <c r="B87" s="102" t="s">
        <v>163</v>
      </c>
      <c r="C87" s="176">
        <f>C85/C80</f>
        <v>0.31812614075792728</v>
      </c>
      <c r="D87" s="176"/>
      <c r="E87" s="176">
        <f>E85/E80</f>
        <v>0.26012493333333336</v>
      </c>
      <c r="F87" s="176"/>
      <c r="G87" s="199">
        <f>C87-E87</f>
        <v>5.8001207424593915E-2</v>
      </c>
      <c r="I87" s="114">
        <f>C87</f>
        <v>0.31812614075792728</v>
      </c>
      <c r="J87" s="114">
        <f>E87</f>
        <v>0.26012493333333336</v>
      </c>
      <c r="K87" s="210">
        <f>I87-J87</f>
        <v>5.8001207424593915E-2</v>
      </c>
    </row>
    <row r="88" spans="2:11" x14ac:dyDescent="0.35">
      <c r="C88" s="109"/>
      <c r="D88" s="109"/>
      <c r="E88" s="109"/>
      <c r="F88" s="109"/>
      <c r="G88" s="200"/>
      <c r="K88" s="211"/>
    </row>
    <row r="89" spans="2:11" x14ac:dyDescent="0.35">
      <c r="B89" s="131" t="s">
        <v>164</v>
      </c>
      <c r="C89" s="187">
        <f>C81-C82</f>
        <v>88.399071925754058</v>
      </c>
      <c r="D89" s="110"/>
      <c r="E89" s="202">
        <f>E81-E82</f>
        <v>322.79999999999995</v>
      </c>
      <c r="F89" s="110"/>
      <c r="G89" s="201">
        <f>E89-C89</f>
        <v>234.40092807424588</v>
      </c>
      <c r="I89" s="196">
        <f>2*C89</f>
        <v>176.79814385150812</v>
      </c>
      <c r="J89" s="130">
        <f>2*E89</f>
        <v>645.59999999999991</v>
      </c>
      <c r="K89" s="209">
        <f>J89-I89</f>
        <v>468.80185614849177</v>
      </c>
    </row>
  </sheetData>
  <mergeCells count="60">
    <mergeCell ref="I78:K78"/>
    <mergeCell ref="E87:F87"/>
    <mergeCell ref="E88:F88"/>
    <mergeCell ref="E89:F89"/>
    <mergeCell ref="B78:G78"/>
    <mergeCell ref="C87:D87"/>
    <mergeCell ref="C88:D88"/>
    <mergeCell ref="C89:D89"/>
    <mergeCell ref="E80:F80"/>
    <mergeCell ref="E81:F81"/>
    <mergeCell ref="E82:F82"/>
    <mergeCell ref="E83:F83"/>
    <mergeCell ref="E84:F84"/>
    <mergeCell ref="E85:F85"/>
    <mergeCell ref="E86:F86"/>
    <mergeCell ref="C81:D81"/>
    <mergeCell ref="C82:D82"/>
    <mergeCell ref="C83:D83"/>
    <mergeCell ref="C84:D84"/>
    <mergeCell ref="C85:D85"/>
    <mergeCell ref="C86:D86"/>
    <mergeCell ref="D75:E75"/>
    <mergeCell ref="D76:E76"/>
    <mergeCell ref="B71:F71"/>
    <mergeCell ref="C79:D79"/>
    <mergeCell ref="E79:F79"/>
    <mergeCell ref="C80:D80"/>
    <mergeCell ref="B67:C67"/>
    <mergeCell ref="B68:C68"/>
    <mergeCell ref="D72:E72"/>
    <mergeCell ref="D73:E73"/>
    <mergeCell ref="D74:E74"/>
    <mergeCell ref="B69:C69"/>
    <mergeCell ref="B10:K10"/>
    <mergeCell ref="B58:K58"/>
    <mergeCell ref="B62:C62"/>
    <mergeCell ref="B63:C63"/>
    <mergeCell ref="B64:C64"/>
    <mergeCell ref="B66:C66"/>
    <mergeCell ref="B65:C65"/>
    <mergeCell ref="B60:C60"/>
    <mergeCell ref="B55:C55"/>
    <mergeCell ref="B52:E52"/>
    <mergeCell ref="H45:J45"/>
    <mergeCell ref="H49:I49"/>
    <mergeCell ref="B48:C48"/>
    <mergeCell ref="B45:F45"/>
    <mergeCell ref="B49:C49"/>
    <mergeCell ref="B50:C50"/>
    <mergeCell ref="B53:C53"/>
    <mergeCell ref="B54:C54"/>
    <mergeCell ref="B47:C47"/>
    <mergeCell ref="E15:H15"/>
    <mergeCell ref="E17:H17"/>
    <mergeCell ref="E12:I12"/>
    <mergeCell ref="B46:C46"/>
    <mergeCell ref="B26:K26"/>
    <mergeCell ref="B12:C12"/>
    <mergeCell ref="B28:D28"/>
    <mergeCell ref="B35:D35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G86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4:K126"/>
  <sheetViews>
    <sheetView showGridLines="0" zoomScale="90" zoomScaleNormal="90" workbookViewId="0">
      <selection activeCell="B8" sqref="B8"/>
    </sheetView>
  </sheetViews>
  <sheetFormatPr defaultColWidth="8.90625" defaultRowHeight="14.5"/>
  <cols>
    <col min="1" max="1" width="7.54296875" customWidth="1"/>
    <col min="2" max="2" width="4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48" customWidth="1"/>
    <col min="9" max="9" width="9" customWidth="1"/>
    <col min="10" max="10" width="9" customWidth="1"/>
    <col min="11" max="11" width="9" customWidth="1"/>
  </cols>
  <sheetData>
    <row r="4" ht="26" customHeight="1">
      <c r="G4" s="103" t="inlineStr">
        <is>
          <t xml:space="preserve">Segregação de risco</t>
        </is>
      </c>
    </row>
    <row r="5">
      <c r="G5" s="102" t="inlineStr">
        <is>
          <t xml:space="preserve">4 de setembro de 2026</t>
        </is>
      </c>
    </row>
    <row r="8" ht="18.5" customHeight="1">
      <c r="B8" s="206" t="inlineStr">
        <is>
          <t xml:space="preserve">Segregação de Risco — Custo do Investimento das Holdings (CPC 15 × CPC 19)</t>
        </is>
      </c>
      <c r="C8" s="206"/>
      <c r="D8" s="206"/>
      <c r="E8" s="206"/>
      <c r="F8" s="206"/>
      <c r="G8" s="206"/>
      <c r="H8" s="206"/>
      <c r="I8" s="206"/>
      <c r="J8" s="206"/>
      <c r="K8" s="206"/>
    </row>
    <row r="10" ht="16" customHeight="1">
      <c r="B10" s="213" t="inlineStr">
        <is>
          <t xml:space="preserve">O que esta aba analisa</t>
        </is>
      </c>
      <c r="C10" s="213"/>
      <c r="D10" s="213"/>
      <c r="E10" s="213"/>
      <c r="F10" s="213"/>
      <c r="G10" s="213"/>
      <c r="H10" s="213"/>
    </row>
    <row r="11" ht="124.0" customHeight="1">
      <c r="B11" s="214" t="inlineStr">
        <is>
          <t xml:space="preserve">Esta aba complementa a aba 'Cálculos da Operação'. Lá se apura o custo do investimento das Holdings (Savian e JVFJ) na Embracon após a incorporação da CNP e o imposto do cash-out, comparando o custo original (cenário A) com o custo incrementado pelo reflexo da incorporação (cenário B). Aqui respondemos a três perguntas que decorrem daquele resultado: (1) de que camadas é formado o custo incrementado e qual o risco fiscal de cada uma, no enquadramento da operação como combinação de negócios (CPC 15); (2) o que muda se a operação for enquadrada como operação em conjunto (CPC 19), em que as Holdings reconhecem 60% do valor justo de toda a JO e um imposto diferido 'carimbado' de 34%; e (3) quanto de imposto seria devido em uma venda futura dos 60%, pela Holding (PJ) ou pelas pessoas físicas (PF), em cada cenário. Os valores partem das premissas da aba 'Cálculos da Operação' (relacionadas abaixo) e estão em R$ milhões; as premissas específicas de cada bloco são indicadas no próprio bloco.</t>
        </is>
      </c>
      <c r="C11" s="214"/>
      <c r="D11" s="214"/>
      <c r="E11" s="214"/>
      <c r="F11" s="214"/>
      <c r="G11" s="214"/>
      <c r="H11" s="214"/>
    </row>
    <row r="13" ht="16" customHeight="1">
      <c r="B13" s="213" t="inlineStr">
        <is>
          <t xml:space="preserve">Informações utilizadas (fonte: aba 'Cálculos da Operação', salvo indicação em contrário)</t>
        </is>
      </c>
      <c r="C13" s="213"/>
      <c r="D13" s="213"/>
      <c r="E13" s="213"/>
      <c r="F13" s="213"/>
      <c r="G13" s="213"/>
      <c r="H13" s="213"/>
    </row>
    <row r="14" ht="16" customHeight="1">
      <c r="B14" s="221" t="inlineStr">
        <is>
          <t xml:space="preserve">Informação</t>
        </is>
      </c>
      <c r="C14" s="222" t="inlineStr">
        <is>
          <t xml:space="preserve">Valor</t>
        </is>
      </c>
      <c r="D14" s="221" t="inlineStr">
        <is>
          <t xml:space="preserve">Origem / observação</t>
        </is>
      </c>
      <c r="E14" s="221"/>
      <c r="F14" s="221"/>
      <c r="G14" s="221"/>
      <c r="H14" s="221"/>
    </row>
    <row r="15" ht="15" customHeight="1">
      <c r="B15" s="216" t="inlineStr">
        <is>
          <t xml:space="preserve">Data-base dos balanços</t>
        </is>
      </c>
      <c r="C15" s="233" t="inlineStr">
        <is>
          <t xml:space="preserve">30.06.2026</t>
        </is>
      </c>
      <c r="D15" s="216" t="inlineStr">
        <is>
          <t xml:space="preserve">Balanços das companhias utilizados na aba 'Cálculos da Operação'</t>
        </is>
      </c>
      <c r="E15" s="216"/>
      <c r="F15" s="216"/>
      <c r="G15" s="216"/>
      <c r="H15" s="216"/>
    </row>
    <row r="16" ht="15" customHeight="1">
      <c r="B16" s="216" t="inlineStr">
        <is>
          <t xml:space="preserve">Unidade</t>
        </is>
      </c>
      <c r="C16" s="233" t="inlineStr">
        <is>
          <t xml:space="preserve">R$ milhões</t>
        </is>
      </c>
    </row>
    <row r="17" ht="30" customHeight="1">
      <c r="B17" s="216" t="inlineStr">
        <is>
          <t xml:space="preserve">Participação das Partes CNP na incorporação (relação de troca)</t>
        </is>
      </c>
      <c r="C17" s="229">
        <f>'Cálculos da Operação'!I15</f>
        <v>0.138</v>
      </c>
      <c r="D17" s="216" t="inlineStr">
        <is>
          <t xml:space="preserve">Ações novas emitidas pela Embracon às Partes CNP na incorporação</t>
        </is>
      </c>
      <c r="E17" s="216"/>
      <c r="F17" s="216"/>
      <c r="G17" s="216"/>
      <c r="H17" s="216"/>
    </row>
    <row r="18" ht="15" customHeight="1">
      <c r="B18" s="216" t="inlineStr">
        <is>
          <t xml:space="preserve">Participação-alvo final das Partes CNP</t>
        </is>
      </c>
      <c r="C18" s="229">
        <f>'Cálculos da Operação'!I16</f>
        <v>0.4</v>
      </c>
      <c r="D18" s="216" t="inlineStr">
        <is>
          <t xml:space="preserve">Após o cash-out (compra de 26,2% das Holdings)</t>
        </is>
      </c>
      <c r="E18" s="216"/>
      <c r="F18" s="216"/>
      <c r="G18" s="216"/>
      <c r="H18" s="216"/>
    </row>
    <row r="19" ht="30" customHeight="1">
      <c r="B19" s="216" t="inlineStr">
        <is>
          <t xml:space="preserve">Participação final das famílias (Savian + JVFJ)</t>
        </is>
      </c>
      <c r="C19" s="229">
        <f>1-C18</f>
        <v>0.6</v>
      </c>
      <c r="D19" s="216" t="inlineStr">
        <is>
          <t xml:space="preserve">Posição remanescente das Holdings, objeto da venda futura simulada no bloco 3</t>
        </is>
      </c>
      <c r="E19" s="216"/>
      <c r="F19" s="216"/>
      <c r="G19" s="216"/>
      <c r="H19" s="216"/>
    </row>
    <row r="20" ht="30" customHeight="1">
      <c r="B20" s="216" t="inlineStr">
        <is>
          <t xml:space="preserve">Fração do investimento das Holdings alienada no cash-out</t>
        </is>
      </c>
      <c r="C20" s="229">
        <f>'Cálculos da Operação'!D69</f>
        <v>0.303944315545244</v>
      </c>
      <c r="D20" s="216" t="inlineStr">
        <is>
          <t xml:space="preserve">13,1% vendidos ÷ 43,1% detidos por Holding — mesmo critério de alocação de custo da aba 'Cálculos da Operação'</t>
        </is>
      </c>
      <c r="E20" s="216"/>
      <c r="F20" s="216"/>
      <c r="G20" s="216"/>
      <c r="H20" s="216"/>
    </row>
    <row r="21" ht="15" customHeight="1">
      <c r="B21" s="216" t="inlineStr">
        <is>
          <t xml:space="preserve">IRPJ/CSLL — ganho de capital PJ</t>
        </is>
      </c>
      <c r="C21" s="229">
        <f>'Cálculos da Operação'!I17</f>
        <v>0.34</v>
      </c>
      <c r="D21" s="216" t="inlineStr">
        <is>
          <t xml:space="preserve">Alíquota combinada aplicada às Holdings</t>
        </is>
      </c>
      <c r="E21" s="216"/>
      <c r="F21" s="216"/>
      <c r="G21" s="216"/>
      <c r="H21" s="216"/>
    </row>
    <row r="22" ht="30" customHeight="1">
      <c r="B22" s="216" t="inlineStr">
        <is>
          <t xml:space="preserve">PL contábil da Embracon (antes da incorporação)</t>
        </is>
      </c>
      <c r="C22" s="224">
        <f>'Cálculos da Operação'!C19</f>
        <v>254</v>
      </c>
      <c r="D22" s="216" t="inlineStr">
        <is>
          <t xml:space="preserve">PL da Embracon; corresponde ao custo original das Holdings</t>
        </is>
      </c>
      <c r="E22" s="216"/>
      <c r="F22" s="216"/>
      <c r="G22" s="216"/>
      <c r="H22" s="216"/>
    </row>
    <row r="23" ht="30" customHeight="1">
      <c r="B23" s="216" t="inlineStr">
        <is>
          <t xml:space="preserve">Custo original do investimento das Holdings (Savian + JVFJ)</t>
        </is>
      </c>
      <c r="C23" s="224">
        <f>'Cálculos da Operação'!F47</f>
        <v>254</v>
      </c>
      <c r="D23" s="216" t="inlineStr">
        <is>
          <t xml:space="preserve">Investimento original em Embracon: 127 de cada Holding</t>
        </is>
      </c>
      <c r="E23" s="216"/>
      <c r="F23" s="216"/>
      <c r="G23" s="216"/>
      <c r="H23" s="216"/>
    </row>
    <row r="24" ht="15" customHeight="1">
      <c r="B24" s="216" t="inlineStr">
        <is>
          <t xml:space="preserve">PL contábil da CNP</t>
        </is>
      </c>
      <c r="C24" s="224">
        <f>'Cálculos da Operação'!C23</f>
        <v>800</v>
      </c>
      <c r="D24" s="216" t="inlineStr">
        <is>
          <t xml:space="preserve">Patrimônio líquido contábil da CNP incorporada</t>
        </is>
      </c>
      <c r="E24" s="216"/>
      <c r="F24" s="216"/>
      <c r="G24" s="216"/>
      <c r="H24" s="216"/>
    </row>
    <row r="25" ht="30" customHeight="1">
      <c r="B25" s="216" t="inlineStr">
        <is>
          <t xml:space="preserve">Valor de mercado da CNP (valor pelo qual o acervo é incorporado no CPC 15 — PPA)</t>
        </is>
      </c>
      <c r="C25" s="224">
        <f>'Cálculos da Operação'!C24</f>
        <v>822</v>
      </c>
      <c r="D25" s="216" t="inlineStr">
        <is>
          <t xml:space="preserve">Valor de mercado adotado na aba 'Cálculos da Operação'</t>
        </is>
      </c>
      <c r="E25" s="216"/>
      <c r="F25" s="216"/>
      <c r="G25" s="216"/>
      <c r="H25" s="216"/>
    </row>
    <row r="26" ht="30" customHeight="1">
      <c r="B26" s="216" t="inlineStr">
        <is>
          <t xml:space="preserve">Mais-valia da CNP (valor de mercado − PL contábil)</t>
        </is>
      </c>
      <c r="C26" s="224">
        <f>C25-C24</f>
        <v>22</v>
      </c>
      <c r="D26" s="216" t="inlineStr">
        <is>
          <t xml:space="preserve">Camada de avaliação a valor justo (AVJ) que o CPC 15 leva ao custo das Holdings via MEP</t>
        </is>
      </c>
      <c r="E26" s="216"/>
      <c r="F26" s="216"/>
      <c r="G26" s="216"/>
      <c r="H26" s="216"/>
    </row>
    <row r="28" ht="18.5" customHeight="1">
      <c r="B28" s="206" t="inlineStr">
        <is>
          <t xml:space="preserve">1) CPC 15 — Combinação de Negócios: de que é feito o custo do investimento das Holdings e onde está o risco</t>
        </is>
      </c>
      <c r="C28" s="206"/>
      <c r="D28" s="206"/>
      <c r="E28" s="206"/>
      <c r="F28" s="206"/>
      <c r="G28" s="206"/>
      <c r="H28" s="206"/>
      <c r="I28" s="206"/>
      <c r="J28" s="206"/>
      <c r="K28" s="206"/>
    </row>
    <row r="30" ht="124.0" customHeight="1">
      <c r="B30" s="214" t="inlineStr">
        <is>
          <t xml:space="preserve">Na combinação de negócios (CPC 15) a Embracon adquire o controle do negócio da CNP: o acervo da CNP entra pelo valor de mercado apurado em laudo (PPA) e o patrimônio da própria Embracon não é reavaliado. Nas Holdings, o investimento sobe pelo método de equivalência patrimonial (MEP): ao custo original soma-se o reflexo do acervo incorporado, deduzida a perda pela diluição de 13,8%. O quadro abre esse custo em camadas porque cada camada tem um risco fiscal diferente. O custo original é incontroverso. O reflexo do PL contábil da CNP depende da tese de que o resultado de equivalência é neutro para fins fiscais também na alienação futura (art. 33, §2º, do DL 1.598/77; precedente WTorre). O reflexo da mais-valia (valor de mercado acima do PL contábil) é a parcela mais exposta, por corresponder a uma avaliação a valor justo que nunca foi tributada. As colunas mostram o valor a 100% (PL da Embracon após a incorporação), a parcela das Holdings logo após a incorporação (86,2%) e a parcela remanescente após o cash-out (60%).</t>
        </is>
      </c>
      <c r="C30" s="214"/>
      <c r="D30" s="214"/>
      <c r="E30" s="214"/>
      <c r="F30" s="214"/>
      <c r="G30" s="214"/>
      <c r="H30" s="214"/>
    </row>
    <row r="32" ht="16" customHeight="1">
      <c r="B32" s="213" t="inlineStr">
        <is>
          <t xml:space="preserve">1.1  Composição do custo do investimento das Holdings, por camada</t>
        </is>
      </c>
      <c r="C32" s="213"/>
      <c r="D32" s="213"/>
      <c r="E32" s="213"/>
      <c r="F32" s="213"/>
      <c r="G32" s="213"/>
      <c r="H32" s="213"/>
    </row>
    <row r="33" ht="48" customHeight="1">
      <c r="B33" s="221" t="inlineStr">
        <is>
          <t xml:space="preserve">Camada do custo</t>
        </is>
      </c>
      <c r="C33" s="222" t="inlineStr">
        <is>
          <t xml:space="preserve">PL Embracon pós-incorporação (100%)</t>
        </is>
      </c>
      <c r="D33" s="222" t="inlineStr">
        <is>
          <t xml:space="preserve">Holdings pós-incorporação (86,2%)</t>
        </is>
      </c>
      <c r="E33" s="222" t="inlineStr">
        <is>
          <t xml:space="preserve">Holdings após o cash-out (60%)</t>
        </is>
      </c>
      <c r="F33" s="222" t="inlineStr">
        <is>
          <t xml:space="preserve">Baixa no cash-out</t>
        </is>
      </c>
      <c r="G33" s="222" t="inlineStr">
        <is>
          <t xml:space="preserve">IR potencial (34%) sobre a camada</t>
        </is>
      </c>
      <c r="H33" s="222" t="inlineStr">
        <is>
          <t xml:space="preserve">Leitura de risco</t>
        </is>
      </c>
    </row>
    <row r="34" ht="60" customHeight="1">
      <c r="B34" s="216" t="inlineStr">
        <is>
          <t xml:space="preserve">Custo original (PL contábil da Embracon)</t>
        </is>
      </c>
      <c r="C34" s="224">
        <f>C22</f>
        <v>254</v>
      </c>
      <c r="D34" s="224">
        <f>C23</f>
        <v>254</v>
      </c>
      <c r="E34" s="224">
        <f>D34*(1-$C$20)</f>
        <v>176.798143851508</v>
      </c>
      <c r="F34" s="224">
        <f>E34-D34</f>
        <v>-77.2018561484919</v>
      </c>
      <c r="G34" s="233" t="inlineStr">
        <is>
          <t xml:space="preserve">–</t>
        </is>
      </c>
      <c r="H34" s="216" t="inlineStr">
        <is>
          <t xml:space="preserve">Incontroverso: custo histórico das ações; é o custo do cenário A da aba 'Cálculos da Operação'.</t>
        </is>
      </c>
    </row>
    <row r="35" ht="60" customHeight="1">
      <c r="B35" s="216" t="inlineStr">
        <is>
          <t xml:space="preserve">(−) Perda por diluição de 13,8% sobre o custo original</t>
        </is>
      </c>
      <c r="C35" s="233" t="inlineStr">
        <is>
          <t xml:space="preserve">–</t>
        </is>
      </c>
      <c r="D35" s="224">
        <f>-D34*$C$17</f>
        <v>-35.052</v>
      </c>
      <c r="E35" s="224">
        <f>D35*(1-$C$20)</f>
        <v>-24.3981438515081</v>
      </c>
      <c r="F35" s="224">
        <f>E35-D35</f>
        <v>10.6538561484919</v>
      </c>
      <c r="G35" s="224">
        <f>E35*$C$21</f>
        <v>-8.29536890951276</v>
      </c>
      <c r="H35" s="216" t="inlineStr">
        <is>
          <t xml:space="preserve">Perda de MEP por variação de percentual: fiscalmente neutra (art. 33, §2º, DL 1.598/77); reduz o reflexo contábil (e o IR potencial da camada seguinte), não o custo fiscal original.</t>
        </is>
      </c>
    </row>
    <row r="36" ht="60" customHeight="1">
      <c r="B36" s="216" t="inlineStr">
        <is>
          <t xml:space="preserve">Reflexo do PL contábil da CNP</t>
        </is>
      </c>
      <c r="C36" s="224">
        <f>C24</f>
        <v>800</v>
      </c>
      <c r="D36" s="224">
        <f>C36*(1-$C$17)</f>
        <v>689.6</v>
      </c>
      <c r="E36" s="224">
        <f>C36*$C$19</f>
        <v>480</v>
      </c>
      <c r="F36" s="224">
        <f>E36-D36</f>
        <v>-209.6</v>
      </c>
      <c r="G36" s="224">
        <f>E36*$C$21</f>
        <v>163.2</v>
      </c>
      <c r="H36" s="216" t="inlineStr">
        <is>
          <t xml:space="preserve">Risco limitado: reflexo MEP do PL incorporado a valor contábil; sustenta-se na tese de neutralidade do MEP (WTorre), com precedentes CARF 2024 em sentido contrário.</t>
        </is>
      </c>
    </row>
    <row r="37" ht="60" customHeight="1">
      <c r="B37" s="216" t="inlineStr">
        <is>
          <t xml:space="preserve">Reflexo da mais-valia da CNP (AVJ do PPA)</t>
        </is>
      </c>
      <c r="C37" s="224">
        <f>C26</f>
        <v>22</v>
      </c>
      <c r="D37" s="224">
        <f>C37*(1-$C$17)</f>
        <v>18.964</v>
      </c>
      <c r="E37" s="224">
        <f>C37*$C$19</f>
        <v>13.2</v>
      </c>
      <c r="F37" s="224">
        <f>E37-D37</f>
        <v>-5.764</v>
      </c>
      <c r="G37" s="224">
        <f>E37*$C$21</f>
        <v>4.488</v>
      </c>
      <c r="H37" s="216" t="inlineStr">
        <is>
          <t xml:space="preserve">Camada mais exposta: valor de mercado acima do PL contábil, nunca tributado; é a parcela que o fisco tenderia a atacar primeiro.</t>
        </is>
      </c>
    </row>
    <row r="38" ht="45" customHeight="1">
      <c r="B38" s="219" t="inlineStr">
        <is>
          <t xml:space="preserve">(=) Custo do investimento das Holdings</t>
        </is>
      </c>
      <c r="C38" s="226">
        <f>SUM(C34:C37)</f>
        <v>1076</v>
      </c>
      <c r="D38" s="226">
        <f>SUM(D34:D37)</f>
        <v>927.512</v>
      </c>
      <c r="E38" s="226">
        <f>SUM(E34:E37)</f>
        <v>645.6</v>
      </c>
      <c r="F38" s="226">
        <f>SUM(F34:F37)</f>
        <v>-281.912</v>
      </c>
      <c r="G38" s="226">
        <f>SUM(G35:G37)</f>
        <v>159.392631090487</v>
      </c>
      <c r="H38" s="240" t="inlineStr">
        <is>
          <t xml:space="preserve">Total das camadas: após a incorporação = custo incrementado; após o cash-out = custo remanescente do cenário B (aba 'Cálculos da Operação').</t>
        </is>
      </c>
    </row>
    <row r="39" ht="45" customHeight="1">
      <c r="B39" s="216" t="inlineStr">
        <is>
          <t xml:space="preserve">Conferência com a aba 'Cálculos da Operação' (diferença; 'ok' = zero)</t>
        </is>
      </c>
      <c r="C39" s="233" t="inlineStr">
        <is>
          <t xml:space="preserve">–</t>
        </is>
      </c>
      <c r="D39" s="235">
        <f>ROUND(D38-'Cálculos da Operação'!E53,6)</f>
        <v>0</v>
      </c>
      <c r="E39" s="235">
        <f>ROUND(E38-'Cálculos da Operação'!J89,6)</f>
        <v>0</v>
      </c>
      <c r="F39" s="235">
        <f>ROUND(F38+'Cálculos da Operação'!J82,6)</f>
        <v>0</v>
      </c>
      <c r="G39" s="233" t="inlineStr">
        <is>
          <t xml:space="preserve">–</t>
        </is>
      </c>
      <c r="H39" s="216" t="inlineStr">
        <is>
          <t xml:space="preserve">D = custo incrementado (E53) · E = custo remanescente do cenário B (J89) · F = custo alocado no cash-out (J82)</t>
        </is>
      </c>
    </row>
    <row r="41" ht="16" customHeight="1">
      <c r="B41" s="213" t="inlineStr">
        <is>
          <t xml:space="preserve">1.2  Leitura: quanto do custo remanescente é seguro e quanto está em discussão (após o cash-out)</t>
        </is>
      </c>
      <c r="C41" s="213"/>
      <c r="D41" s="213"/>
      <c r="E41" s="213"/>
      <c r="F41" s="213"/>
      <c r="G41" s="213"/>
      <c r="H41" s="213"/>
    </row>
    <row r="42" ht="32" customHeight="1">
      <c r="B42" s="221" t="inlineStr">
        <is>
          <t xml:space="preserve">Parcela do custo após o cash-out</t>
        </is>
      </c>
      <c r="C42" s="222" t="inlineStr">
        <is>
          <t xml:space="preserve">Valor</t>
        </is>
      </c>
      <c r="D42" s="222" t="inlineStr">
        <is>
          <t xml:space="preserve">% do custo</t>
        </is>
      </c>
      <c r="E42" s="222" t="inlineStr">
        <is>
          <t xml:space="preserve">IR potencial (34%)</t>
        </is>
      </c>
      <c r="F42" s="221" t="inlineStr">
        <is>
          <t xml:space="preserve">Comentário</t>
        </is>
      </c>
      <c r="G42" s="221"/>
      <c r="H42" s="221"/>
    </row>
    <row r="43" ht="30" customHeight="1">
      <c r="B43" s="216" t="inlineStr">
        <is>
          <t xml:space="preserve">Custo fiscal incontroverso (custo original remanescente = cenário A)</t>
        </is>
      </c>
      <c r="C43" s="224">
        <f>E34</f>
        <v>176.798143851508</v>
      </c>
      <c r="D43" s="229">
        <f>C43/$C$46</f>
        <v>0.273850904354876</v>
      </c>
      <c r="E43" s="233" t="inlineStr">
        <is>
          <t xml:space="preserve">–</t>
        </is>
      </c>
      <c r="F43" s="216" t="inlineStr">
        <is>
          <t xml:space="preserve">Custo aceito em qualquer leitura; é o cenário mais conservador da aba 'Cálculos da Operação'.</t>
        </is>
      </c>
      <c r="G43" s="216"/>
      <c r="H43" s="216"/>
    </row>
    <row r="44" ht="30" customHeight="1">
      <c r="B44" s="216" t="inlineStr">
        <is>
          <t xml:space="preserve">Reflexo do PL contábil da CNP, líquido da perda por diluição (risco limitado)</t>
        </is>
      </c>
      <c r="C44" s="224">
        <f>E36+E35</f>
        <v>455.601856148492</v>
      </c>
      <c r="D44" s="229">
        <f>C44/$C$46</f>
        <v>0.705702998990849</v>
      </c>
      <c r="E44" s="224">
        <f>C44*$C$21</f>
        <v>154.904631090487</v>
      </c>
      <c r="F44" s="216" t="inlineStr">
        <is>
          <t xml:space="preserve">Depende da tese de neutralidade do reflexo de MEP; o IR só seria devido se o fisco tributar o reflexo na alienação.</t>
        </is>
      </c>
      <c r="G44" s="216"/>
      <c r="H44" s="216"/>
    </row>
    <row r="45" ht="30" customHeight="1">
      <c r="B45" s="216" t="inlineStr">
        <is>
          <t xml:space="preserve">Reflexo da mais-valia da CNP (maior exposição)</t>
        </is>
      </c>
      <c r="C45" s="224">
        <f>E37</f>
        <v>13.2</v>
      </c>
      <c r="D45" s="229">
        <f>C45/$C$46</f>
        <v>0.0204460966542751</v>
      </c>
      <c r="E45" s="224">
        <f>C45*$C$21</f>
        <v>4.488</v>
      </c>
      <c r="F45" s="216" t="inlineStr">
        <is>
          <t xml:space="preserve">Parcela do PPA levada ao custo; com as premissas atuais é pequena, porque o valor de mercado da CNP está próximo do seu PL contábil.</t>
        </is>
      </c>
      <c r="G45" s="216"/>
      <c r="H45" s="216"/>
    </row>
    <row r="46" ht="30" customHeight="1">
      <c r="B46" s="219" t="inlineStr">
        <is>
          <t xml:space="preserve">(=) Custo após o cash-out (cenário B) — incremento em discussão = linhas 2 + 3</t>
        </is>
      </c>
      <c r="C46" s="226">
        <f>SUM(C43:C45)</f>
        <v>645.6</v>
      </c>
      <c r="D46" s="231">
        <f>SUM(D43:D45)</f>
        <v>1</v>
      </c>
      <c r="E46" s="226">
        <f>SUM(E44:E45)</f>
        <v>159.392631090487</v>
      </c>
      <c r="F46" s="240" t="inlineStr">
        <is>
          <t xml:space="preserve">O incremento em discussão (C44 + C45) é exatamente a diferença de custo remanescente entre os cenários B e A da aba 'Cálculos da Operação'.</t>
        </is>
      </c>
      <c r="G46" s="240"/>
      <c r="H46" s="240"/>
    </row>
    <row r="47" ht="30" customHeight="1">
      <c r="B47" s="216" t="inlineStr">
        <is>
          <t xml:space="preserve">Conferência: incremento em discussão − Δ custo remanescente da aba 'Cálculos da Operação' (K89)</t>
        </is>
      </c>
      <c r="C47" s="235">
        <f>ROUND(C44+C45-'Cálculos da Operação'!K89,6)</f>
        <v>0</v>
      </c>
    </row>
    <row r="49" ht="18.5" customHeight="1">
      <c r="B49" s="206" t="inlineStr">
        <is>
          <t xml:space="preserve">2) CPC 19 — Joint Operation: reconhecimento de 60% do valor justo da JO e imposto diferido 'carimbado'</t>
        </is>
      </c>
      <c r="C49" s="206"/>
      <c r="D49" s="206"/>
      <c r="E49" s="206"/>
      <c r="F49" s="206"/>
      <c r="G49" s="206"/>
      <c r="H49" s="206"/>
      <c r="I49" s="206"/>
      <c r="J49" s="206"/>
      <c r="K49" s="206"/>
    </row>
    <row r="51" ht="109.0" customHeight="1">
      <c r="B51" s="214" t="inlineStr">
        <is>
          <t xml:space="preserve">Na operação em conjunto (CPC 19), leitura sustentada pela Deloitte a partir dos vetos qualificados da CNP, as Holdings deixam de avaliar o investimento pelo MEP e passam a reconhecer diretamente a sua parcela (60%) dos ativos e passivos da JO — Embracon e CNP — a valor justo. Isso inclui o valor justo da própria Embracon, que no CPC 15 não é reavaliada. O ganho de avaliação a valor justo (AVJ) não é tributado no reconhecimento, desde que controlado em subconta (arts. 13 e 14 da Lei 12.973/14), mas fica 'carimbado': o IRPJ/CSLL de 34% sobre o AVJ é devido quando o investimento for realizado (venda), qualquer que seja o preço e independentemente de quem venda. O bloco usa como valor justo da Embracon o enterprise value do Acordo de Investimento (premissa editável abaixo) e, para a CNP, o valor de mercado já adotado na aba 'Cálculos da Operação'.</t>
        </is>
      </c>
      <c r="C51" s="214"/>
      <c r="D51" s="214"/>
      <c r="E51" s="214"/>
      <c r="F51" s="214"/>
      <c r="G51" s="214"/>
      <c r="H51" s="214"/>
    </row>
    <row r="53" ht="16" customHeight="1">
      <c r="B53" s="213" t="inlineStr">
        <is>
          <t xml:space="preserve">2.1  Premissa adicional deste bloco</t>
        </is>
      </c>
      <c r="C53" s="213"/>
      <c r="D53" s="213"/>
      <c r="E53" s="213"/>
      <c r="F53" s="213"/>
      <c r="G53" s="213"/>
      <c r="H53" s="213"/>
    </row>
    <row r="54" ht="30" customHeight="1">
      <c r="B54" s="236" t="inlineStr">
        <is>
          <t xml:space="preserve">Valor justo da Embracon — enterprise value do Acordo de Investimento (data-base 31.12.2024)</t>
        </is>
      </c>
      <c r="C54" s="237">
        <v>5133</v>
      </c>
      <c r="D54" s="216" t="inlineStr">
        <is>
          <t xml:space="preserve">Premissa editável. No CPC 15 a Embracon não é reavaliada; no CPC 19 o seu valor justo entra integralmente no investimento das Holdings.</t>
        </is>
      </c>
      <c r="E54" s="216"/>
      <c r="F54" s="216"/>
      <c r="G54" s="216"/>
      <c r="H54" s="216"/>
    </row>
    <row r="56" ht="16" customHeight="1">
      <c r="B56" s="213" t="inlineStr">
        <is>
          <t xml:space="preserve">2.2  Investimento das Holdings na JO (após o cash-out, 60%)</t>
        </is>
      </c>
      <c r="C56" s="213"/>
      <c r="D56" s="213"/>
      <c r="E56" s="213"/>
      <c r="F56" s="213"/>
      <c r="G56" s="213"/>
      <c r="H56" s="213"/>
    </row>
    <row r="57" ht="32" customHeight="1">
      <c r="B57" s="221" t="inlineStr">
        <is>
          <t xml:space="preserve">Componente</t>
        </is>
      </c>
      <c r="C57" s="222" t="inlineStr">
        <is>
          <t xml:space="preserve">100% da JO</t>
        </is>
      </c>
      <c r="D57" s="222" t="inlineStr">
        <is>
          <t xml:space="preserve">60% (Holdings)</t>
        </is>
      </c>
      <c r="E57" s="221" t="inlineStr">
        <is>
          <t xml:space="preserve">Leitura</t>
        </is>
      </c>
      <c r="F57" s="221"/>
      <c r="G57" s="221"/>
      <c r="H57" s="221"/>
    </row>
    <row r="58" ht="30" customHeight="1">
      <c r="B58" s="216" t="inlineStr">
        <is>
          <t xml:space="preserve">Valor justo da Embracon</t>
        </is>
      </c>
      <c r="C58" s="224">
        <f>C54</f>
        <v>5133</v>
      </c>
      <c r="D58" s="224">
        <f>C58*$C$19</f>
        <v>3079.8</v>
      </c>
      <c r="E58" s="216" t="inlineStr">
        <is>
          <t xml:space="preserve">Parcela que não existe no CPC 15: a Embracon passa a ser reavaliada.</t>
        </is>
      </c>
      <c r="F58" s="216"/>
      <c r="G58" s="216"/>
      <c r="H58" s="216"/>
    </row>
    <row r="59" ht="30" customHeight="1">
      <c r="B59" s="216" t="inlineStr">
        <is>
          <t xml:space="preserve">Valor justo da CNP (= valor de mercado)</t>
        </is>
      </c>
      <c r="C59" s="224">
        <f>C25</f>
        <v>822</v>
      </c>
      <c r="D59" s="224">
        <f>C59*$C$19</f>
        <v>493.2</v>
      </c>
      <c r="E59" s="216" t="inlineStr">
        <is>
          <t xml:space="preserve">Mesmo valor incorporado no CPC 15.</t>
        </is>
      </c>
      <c r="F59" s="216"/>
      <c r="G59" s="216"/>
      <c r="H59" s="216"/>
    </row>
    <row r="60" ht="30" customHeight="1">
      <c r="B60" s="219" t="inlineStr">
        <is>
          <t xml:space="preserve">(=) Valor justo total da JO — custo do investimento das Holdings no CPC 19</t>
        </is>
      </c>
      <c r="C60" s="226">
        <f>C58+C59</f>
        <v>5955</v>
      </c>
      <c r="D60" s="226">
        <f>D58+D59</f>
        <v>3573</v>
      </c>
      <c r="E60" s="240" t="inlineStr">
        <is>
          <t xml:space="preserve">Investimento reconhecido pelas Holdings: 60% do valor justo de Embracon + CNP.</t>
        </is>
      </c>
      <c r="F60" s="240"/>
      <c r="G60" s="240"/>
      <c r="H60" s="240"/>
    </row>
    <row r="61" ht="30" customHeight="1">
      <c r="B61" s="216" t="inlineStr">
        <is>
          <t xml:space="preserve">(−) Base contábil (PL da Embracon + PL contábil da CNP)</t>
        </is>
      </c>
      <c r="C61" s="224">
        <f>C22+C24</f>
        <v>1054</v>
      </c>
      <c r="D61" s="224">
        <f>C61*$C$19</f>
        <v>632.4</v>
      </c>
      <c r="E61" s="216" t="inlineStr">
        <is>
          <t xml:space="preserve">Coincide com o custo do CPC 15 sem a camada da mais-valia (bloco 1: custo original + diluição + reflexo do PL contábil).</t>
        </is>
      </c>
      <c r="F61" s="216"/>
      <c r="G61" s="216"/>
      <c r="H61" s="216"/>
    </row>
    <row r="62" ht="30" customHeight="1">
      <c r="B62" s="218" t="inlineStr">
        <is>
          <t xml:space="preserve">(=) Ganho de AVJ com tributação diferida (subconta — arts. 13 e 14, Lei 12.973/14)</t>
        </is>
      </c>
      <c r="C62" s="225">
        <f>C60-C61</f>
        <v>4901</v>
      </c>
      <c r="D62" s="225">
        <f>D60-D61</f>
        <v>2940.6</v>
      </c>
      <c r="E62" s="216" t="inlineStr">
        <is>
          <t xml:space="preserve">Ganho reconhecido no resultado das Holdings e neutralizado fiscalmente apenas enquanto controlado em subconta.</t>
        </is>
      </c>
      <c r="F62" s="216"/>
      <c r="G62" s="216"/>
      <c r="H62" s="216"/>
    </row>
    <row r="63" ht="30" customHeight="1">
      <c r="B63" s="220" t="inlineStr">
        <is>
          <t xml:space="preserve">Passivo fiscal diferido 'carimbado' (34% × AVJ)</t>
        </is>
      </c>
      <c r="C63" s="227">
        <f>C62*$C$21</f>
        <v>1666.34</v>
      </c>
      <c r="D63" s="227">
        <f>D62*$C$21</f>
        <v>999.804</v>
      </c>
      <c r="E63" s="216" t="inlineStr">
        <is>
          <t xml:space="preserve">Devido na realização do investimento (venda), independentemente do preço; é o piso de imposto do CPC 19 nos blocos 3 e 5.</t>
        </is>
      </c>
      <c r="F63" s="216"/>
      <c r="G63" s="216"/>
      <c r="H63" s="216"/>
    </row>
    <row r="65" ht="16" customHeight="1">
      <c r="B65" s="213" t="inlineStr">
        <is>
          <t xml:space="preserve">2.3  Custo do investimento das Holdings após o cash-out — CPC 15 × CPC 19</t>
        </is>
      </c>
      <c r="C65" s="213"/>
      <c r="D65" s="213"/>
      <c r="E65" s="213"/>
      <c r="F65" s="213"/>
      <c r="G65" s="213"/>
      <c r="H65" s="213"/>
    </row>
    <row r="66" ht="16" customHeight="1">
      <c r="B66" s="221" t="inlineStr">
        <is>
          <t xml:space="preserve">Cenário</t>
        </is>
      </c>
      <c r="C66" s="222" t="inlineStr">
        <is>
          <t xml:space="preserve">Custo (60%)</t>
        </is>
      </c>
      <c r="D66" s="222" t="inlineStr">
        <is>
          <t xml:space="preserve">Δ vs. CPC 15</t>
        </is>
      </c>
      <c r="E66" s="221" t="inlineStr">
        <is>
          <t xml:space="preserve">Leitura</t>
        </is>
      </c>
      <c r="F66" s="221"/>
      <c r="G66" s="221"/>
      <c r="H66" s="221"/>
    </row>
    <row r="67" ht="30" customHeight="1">
      <c r="B67" s="216" t="inlineStr">
        <is>
          <t xml:space="preserve">CPC 15 — custo incrementado remanescente (bloco 1)</t>
        </is>
      </c>
      <c r="C67" s="224">
        <f>E38</f>
        <v>645.6</v>
      </c>
      <c r="D67" s="233" t="inlineStr">
        <is>
          <t xml:space="preserve">–</t>
        </is>
      </c>
      <c r="E67" s="216" t="inlineStr">
        <is>
          <t xml:space="preserve">Custo formado pelo custo original mais o reflexo da CNP a valor de mercado; sem passivo fiscal diferido.</t>
        </is>
      </c>
      <c r="F67" s="216"/>
      <c r="G67" s="216"/>
      <c r="H67" s="216"/>
    </row>
    <row r="68" ht="30" customHeight="1">
      <c r="B68" s="216" t="inlineStr">
        <is>
          <t xml:space="preserve">CPC 19 — 60% do valor justo da JO (bloco 2)</t>
        </is>
      </c>
      <c r="C68" s="224">
        <f>D60</f>
        <v>3573</v>
      </c>
      <c r="D68" s="224">
        <f>C68-C67</f>
        <v>2927.4</v>
      </c>
      <c r="E68" s="216" t="inlineStr">
        <is>
          <t xml:space="preserve">A diferença é o AVJ de toda a JO (60%) menos a mais-valia da CNP que o CPC 15 já leva ao custo; sobre o AVJ há IR diferido de 34%.</t>
        </is>
      </c>
      <c r="F68" s="216"/>
      <c r="G68" s="216"/>
      <c r="H68" s="216"/>
    </row>
    <row r="70" ht="18.5" customHeight="1">
      <c r="B70" s="206" t="inlineStr">
        <is>
          <t xml:space="preserve">3) Venda futura dos 60% — IRPJ/CSLL em cada cenário, pela Holding (PJ) ou pelas pessoas físicas (PF)</t>
        </is>
      </c>
      <c r="C70" s="206"/>
      <c r="D70" s="206"/>
      <c r="E70" s="206"/>
      <c r="F70" s="206"/>
      <c r="G70" s="206"/>
      <c r="H70" s="206"/>
      <c r="I70" s="206"/>
      <c r="J70" s="206"/>
      <c r="K70" s="206"/>
    </row>
    <row r="72" ht="94.0" customHeight="1">
      <c r="B72" s="214" t="inlineStr">
        <is>
          <t xml:space="preserve">Simulamos a venda dos 60% remanescentes em três preços — abaixo, igual e acima do valor justo (60% do valor justo da JO). No CPC 15, o imposto incide sobre a diferença entre o preço e o custo fiscal apurado no bloco 1 (custo incrementado remanescente). No CPC 19, o imposto diferido de 34% sobre o AVJ é devido de qualquer forma e funciona como piso; se o preço superar o valor justo, o excedente também é tributado. Na venda pelas pessoas físicas (após 'subir' as ações das Holdings para as PFs), aplica-se a alíquota simplificada de 22,5% sobre o ganho; porém o custo das PFs é o custo das quotas das Holdings, muito inferior ao custo da Holding, e no CPC 19 o imposto carimbado permanece na Holding mesmo que a venda seja feita pela PF.</t>
        </is>
      </c>
      <c r="C72" s="214"/>
      <c r="D72" s="214"/>
      <c r="E72" s="214"/>
      <c r="F72" s="214"/>
      <c r="G72" s="214"/>
      <c r="H72" s="214"/>
    </row>
    <row r="74" ht="16" customHeight="1">
      <c r="B74" s="213" t="inlineStr">
        <is>
          <t xml:space="preserve">3.1  Premissas deste bloco</t>
        </is>
      </c>
      <c r="C74" s="213"/>
      <c r="D74" s="213"/>
      <c r="E74" s="213"/>
      <c r="F74" s="213"/>
      <c r="G74" s="213"/>
      <c r="H74" s="213"/>
    </row>
    <row r="75" ht="15" customHeight="1">
      <c r="B75" s="236" t="inlineStr">
        <is>
          <t xml:space="preserve">Preço de venda abaixo do valor justo</t>
        </is>
      </c>
      <c r="C75" s="237">
        <v>1000</v>
      </c>
      <c r="D75" s="216" t="inlineStr">
        <is>
          <t xml:space="preserve">Premissa editável (cenário i do material SF).</t>
        </is>
      </c>
      <c r="E75" s="216"/>
      <c r="F75" s="216"/>
      <c r="G75" s="216"/>
      <c r="H75" s="216"/>
    </row>
    <row r="76" ht="30" customHeight="1">
      <c r="B76" s="216" t="inlineStr">
        <is>
          <t xml:space="preserve">Preço de venda igual ao valor justo (60% do valor justo da JO)</t>
        </is>
      </c>
      <c r="C76" s="225">
        <f>D60</f>
        <v>3573</v>
      </c>
      <c r="D76" s="216" t="inlineStr">
        <is>
          <t xml:space="preserve">Calculado a partir do bloco 2.</t>
        </is>
      </c>
      <c r="E76" s="216"/>
      <c r="F76" s="216"/>
      <c r="G76" s="216"/>
      <c r="H76" s="216"/>
    </row>
    <row r="77" ht="15" customHeight="1">
      <c r="B77" s="236" t="inlineStr">
        <is>
          <t xml:space="preserve">Preço de venda acima do valor justo</t>
        </is>
      </c>
      <c r="C77" s="237">
        <v>5000</v>
      </c>
      <c r="D77" s="216" t="inlineStr">
        <is>
          <t xml:space="preserve">Premissa editável (cenário iii do material SF).</t>
        </is>
      </c>
      <c r="E77" s="216"/>
      <c r="F77" s="216"/>
      <c r="G77" s="216"/>
      <c r="H77" s="216"/>
    </row>
    <row r="78" ht="30" customHeight="1">
      <c r="B78" s="236" t="inlineStr">
        <is>
          <t xml:space="preserve">Alíquota de IR da pessoa física — ganho de capital (simplificada)</t>
        </is>
      </c>
      <c r="C78" s="239">
        <v>0.225</v>
      </c>
      <c r="D78" s="216" t="inlineStr">
        <is>
          <t xml:space="preserve">Alíquota progressiva de 15% a 22,5%; adotada a máxima, por simplificação.</t>
        </is>
      </c>
      <c r="E78" s="216"/>
      <c r="F78" s="216"/>
      <c r="G78" s="216"/>
      <c r="H78" s="216"/>
    </row>
    <row r="79" ht="30" customHeight="1">
      <c r="B79" s="236" t="inlineStr">
        <is>
          <t xml:space="preserve">Custo das quotas das Holdings nas pessoas físicas</t>
        </is>
      </c>
      <c r="C79" s="237">
        <v>18</v>
      </c>
      <c r="D79" s="216" t="inlineStr">
        <is>
          <t xml:space="preserve">Premissa ilustrativa do exercício da MLA, a confirmar com o custo real das quotas.</t>
        </is>
      </c>
      <c r="E79" s="216"/>
      <c r="F79" s="216"/>
      <c r="G79" s="216"/>
      <c r="H79" s="216"/>
    </row>
    <row r="81" ht="16" customHeight="1">
      <c r="B81" s="213" t="inlineStr">
        <is>
          <t xml:space="preserve">3.2  Imposto na venda dos 60% (IRPJ/CSLL de 34% na Holding; IR de 22,5% na PF)</t>
        </is>
      </c>
      <c r="C81" s="213"/>
      <c r="D81" s="213"/>
      <c r="E81" s="213"/>
      <c r="F81" s="213"/>
      <c r="G81" s="213"/>
      <c r="H81" s="213"/>
    </row>
    <row r="82" ht="48" customHeight="1">
      <c r="B82" s="221" t="inlineStr">
        <is>
          <t xml:space="preserve">Cenário de preço</t>
        </is>
      </c>
      <c r="C82" s="222" t="inlineStr">
        <is>
          <t xml:space="preserve">Preço de venda</t>
        </is>
      </c>
      <c r="D82" s="222" t="inlineStr">
        <is>
          <t xml:space="preserve">CPC 15 — venda pela Holding</t>
        </is>
      </c>
      <c r="E82" s="222" t="inlineStr">
        <is>
          <t xml:space="preserve">CPC 15 — venda pela PF</t>
        </is>
      </c>
      <c r="F82" s="222" t="inlineStr">
        <is>
          <t xml:space="preserve">CPC 19 — venda pela Holding</t>
        </is>
      </c>
      <c r="G82" s="222" t="inlineStr">
        <is>
          <t xml:space="preserve">CPC 19 — venda pela PF</t>
        </is>
      </c>
      <c r="H82" s="222" t="inlineStr">
        <is>
          <t xml:space="preserve">Δ CPC 19 − CPC 15 (venda pela Holding)</t>
        </is>
      </c>
    </row>
    <row r="83" ht="16" customHeight="1">
      <c r="B83" s="216" t="inlineStr">
        <is>
          <t xml:space="preserve">Abaixo do valor justo</t>
        </is>
      </c>
      <c r="C83" s="225">
        <f>C75</f>
        <v>1000</v>
      </c>
      <c r="D83" s="223">
        <f>(C83-$E$38)*$C$21</f>
        <v>120.496</v>
      </c>
      <c r="E83" s="223">
        <f>(C83-$C$79)*$C$78</f>
        <v>220.95</v>
      </c>
      <c r="F83" s="223">
        <f>MAX($D$63,(C83-$D$61)*$C$21)</f>
        <v>999.804</v>
      </c>
      <c r="G83" s="223">
        <f>$D$63+MAX(0,C83-$D$60)*$C$78</f>
        <v>999.804</v>
      </c>
      <c r="H83" s="225">
        <f>F83-D83</f>
        <v>879.308</v>
      </c>
    </row>
    <row r="84" ht="16" customHeight="1">
      <c r="B84" s="216" t="inlineStr">
        <is>
          <t xml:space="preserve">Igual ao valor justo</t>
        </is>
      </c>
      <c r="C84" s="225">
        <f>C76</f>
        <v>3573</v>
      </c>
      <c r="D84" s="223">
        <f>(C84-$E$38)*$C$21</f>
        <v>995.316</v>
      </c>
      <c r="E84" s="223">
        <f>(C84-$C$79)*$C$78</f>
        <v>799.875</v>
      </c>
      <c r="F84" s="223">
        <f>MAX($D$63,(C84-$D$61)*$C$21)</f>
        <v>999.804</v>
      </c>
      <c r="G84" s="223">
        <f>$D$63+MAX(0,C84-$D$60)*$C$78</f>
        <v>999.804</v>
      </c>
      <c r="H84" s="225">
        <f>F84-D84</f>
        <v>4.48799999999994</v>
      </c>
    </row>
    <row r="85" ht="16" customHeight="1">
      <c r="B85" s="216" t="inlineStr">
        <is>
          <t xml:space="preserve">Acima do valor justo</t>
        </is>
      </c>
      <c r="C85" s="225">
        <f>C77</f>
        <v>5000</v>
      </c>
      <c r="D85" s="223">
        <f>(C85-$E$38)*$C$21</f>
        <v>1480.496</v>
      </c>
      <c r="E85" s="223">
        <f>(C85-$C$79)*$C$78</f>
        <v>1120.95</v>
      </c>
      <c r="F85" s="223">
        <f>MAX($D$63,(C85-$D$61)*$C$21)</f>
        <v>1484.984</v>
      </c>
      <c r="G85" s="223">
        <f>$D$63+MAX(0,C85-$D$60)*$C$78</f>
        <v>1320.879</v>
      </c>
      <c r="H85" s="225">
        <f>F85-D85</f>
        <v>4.48800000000006</v>
      </c>
    </row>
    <row r="86" ht="45" customHeight="1">
      <c r="B86" s="216" t="inlineStr">
        <is>
          <t xml:space="preserve">Fórmulas: CPC 15 PJ = (preço − custo do bloco 1) × 34% · CPC 15 PF = (preço − custo das quotas) × 22,5% · CPC 19 PJ = maior entre o imposto carimbado e (preço − base contábil) × 34% · CPC 19 PF = imposto carimbado na Holding + 22,5% sobre o excedente ao valor justo.</t>
        </is>
      </c>
      <c r="C86" s="216"/>
      <c r="D86" s="216"/>
      <c r="E86" s="216"/>
      <c r="F86" s="216"/>
      <c r="G86" s="216"/>
      <c r="H86" s="216"/>
    </row>
    <row r="87" ht="64.0" customHeight="1">
      <c r="B87" s="214" t="inlineStr">
        <is>
          <t xml:space="preserve">Leitura: em preços iguais ou superiores ao valor justo, a diferença entre os regimes na venda pela Holding é pequena e corresponde a 34% da mais-valia da CNP — a única camada que o CPC 15 leva ao custo e o CPC 19 tributa. Abaixo do valor justo, o CPC 19 é substancialmente mais oneroso, porque o imposto diferido não diminui com o preço. A venda pela PF só é vantajosa no CPC 15, e apenas a partir de preços em que a alíquota menor compensa o custo menor das quotas; no CPC 19 ela não elimina o imposto carimbado, que permanece na Holding.</t>
        </is>
      </c>
      <c r="C87" s="214"/>
      <c r="D87" s="214"/>
      <c r="E87" s="214"/>
      <c r="F87" s="214"/>
      <c r="G87" s="214"/>
      <c r="H87" s="214"/>
    </row>
    <row r="89" ht="16" customHeight="1">
      <c r="B89" s="213" t="inlineStr">
        <is>
          <t xml:space="preserve">3.3  Por que o imposto diferido do CPC 19 funciona como piso — venda abaixo do valor justo</t>
        </is>
      </c>
      <c r="C89" s="213"/>
      <c r="D89" s="213"/>
      <c r="E89" s="213"/>
      <c r="F89" s="213"/>
      <c r="G89" s="213"/>
      <c r="H89" s="213"/>
    </row>
    <row r="90" ht="16" customHeight="1">
      <c r="B90" s="221" t="inlineStr">
        <is>
          <t xml:space="preserve">Movimento na Holding (CPC 19)</t>
        </is>
      </c>
      <c r="C90" s="222" t="inlineStr">
        <is>
          <t xml:space="preserve">Valor</t>
        </is>
      </c>
      <c r="D90" s="221" t="inlineStr">
        <is>
          <t xml:space="preserve">Comentário</t>
        </is>
      </c>
      <c r="E90" s="221"/>
      <c r="F90" s="221"/>
      <c r="G90" s="221"/>
      <c r="H90" s="221"/>
    </row>
    <row r="91" ht="30" customHeight="1">
      <c r="B91" s="216" t="inlineStr">
        <is>
          <t xml:space="preserve">Baixa do investimento (60% do valor justo da JO)</t>
        </is>
      </c>
      <c r="C91" s="224">
        <f>-D60</f>
        <v>-3573</v>
      </c>
      <c r="D91" s="216" t="inlineStr">
        <is>
          <t xml:space="preserve">Valor contábil do investimento reconhecido no CPC 19.</t>
        </is>
      </c>
      <c r="E91" s="216"/>
      <c r="F91" s="216"/>
      <c r="G91" s="216"/>
      <c r="H91" s="216"/>
    </row>
    <row r="92" ht="15" customHeight="1">
      <c r="B92" s="216" t="inlineStr">
        <is>
          <t xml:space="preserve">Preço recebido</t>
        </is>
      </c>
      <c r="C92" s="224">
        <f>C75</f>
        <v>1000</v>
      </c>
      <c r="D92" s="216" t="inlineStr">
        <is>
          <t xml:space="preserve"/>
        </is>
      </c>
      <c r="E92" s="216"/>
      <c r="F92" s="216"/>
      <c r="G92" s="216"/>
      <c r="H92" s="216"/>
    </row>
    <row r="93" ht="30" customHeight="1">
      <c r="B93" s="218" t="inlineStr">
        <is>
          <t xml:space="preserve">(=) Resultado contábil da venda</t>
        </is>
      </c>
      <c r="C93" s="225">
        <f>C91+C92</f>
        <v>-2573</v>
      </c>
      <c r="D93" s="216" t="inlineStr">
        <is>
          <t xml:space="preserve">Prejuízo contábil, porque o preço é inferior ao valor justo reconhecido.</t>
        </is>
      </c>
      <c r="E93" s="216"/>
      <c r="F93" s="216"/>
      <c r="G93" s="216"/>
      <c r="H93" s="216"/>
    </row>
    <row r="94" ht="30" customHeight="1">
      <c r="B94" s="216" t="inlineStr">
        <is>
          <t xml:space="preserve">IR diferido 'carimbado' devido na realização</t>
        </is>
      </c>
      <c r="C94" s="224">
        <f>D63</f>
        <v>999.804</v>
      </c>
      <c r="D94" s="216" t="inlineStr">
        <is>
          <t xml:space="preserve">Devido integralmente: a subconta é baixada com a venda.</t>
        </is>
      </c>
      <c r="E94" s="216"/>
      <c r="F94" s="216"/>
      <c r="G94" s="216"/>
      <c r="H94" s="216"/>
    </row>
    <row r="95" ht="30" customHeight="1">
      <c r="B95" s="216" t="inlineStr">
        <is>
          <t xml:space="preserve">Crédito teórico sobre a perda (34%)</t>
        </is>
      </c>
      <c r="C95" s="224">
        <f>C93*$C$21</f>
        <v>-874.82</v>
      </c>
      <c r="D95" s="216" t="inlineStr">
        <is>
          <t xml:space="preserve">No lucro presumido a perda não é aproveitável; no lucro real, a compensação é limitada à trava de 30% e depende de lucros futuros.</t>
        </is>
      </c>
      <c r="E95" s="216"/>
      <c r="F95" s="216"/>
      <c r="G95" s="216"/>
      <c r="H95" s="216"/>
    </row>
    <row r="96" ht="30" customHeight="1">
      <c r="B96" s="216" t="inlineStr">
        <is>
          <t xml:space="preserve">Carga líquida teórica (se a perda fosse integralmente aproveitada)</t>
        </is>
      </c>
      <c r="C96" s="224">
        <f>C94+C95</f>
        <v>124.984</v>
      </c>
      <c r="D96" s="216" t="inlineStr">
        <is>
          <t xml:space="preserve">Coincide com o RISCO 2 do bloco 4 (mesma base contábil).</t>
        </is>
      </c>
      <c r="E96" s="216"/>
      <c r="F96" s="216"/>
      <c r="G96" s="216"/>
      <c r="H96" s="216"/>
    </row>
    <row r="97" ht="30" customHeight="1">
      <c r="B97" s="219" t="inlineStr">
        <is>
          <t xml:space="preserve">Carga adotada nos quadros (piso = imposto carimbado)</t>
        </is>
      </c>
      <c r="C97" s="226">
        <f>F83</f>
        <v>999.804</v>
      </c>
      <c r="D97" s="240" t="inlineStr">
        <is>
          <t xml:space="preserve">Leitura conservadora adotada no material: o imposto carimbado é pago e a perda não gera economia.</t>
        </is>
      </c>
      <c r="E97" s="240"/>
      <c r="F97" s="240"/>
      <c r="G97" s="240"/>
      <c r="H97" s="240"/>
    </row>
    <row r="99" ht="18.5" customHeight="1">
      <c r="B99" s="206" t="inlineStr">
        <is>
          <t xml:space="preserve">4) Sensibilidade do CPC 15 — e se o fisco não aceitar as camadas do custo?</t>
        </is>
      </c>
      <c r="C99" s="206"/>
      <c r="D99" s="206"/>
      <c r="E99" s="206"/>
      <c r="F99" s="206"/>
      <c r="G99" s="206"/>
      <c r="H99" s="206"/>
      <c r="I99" s="206"/>
      <c r="J99" s="206"/>
      <c r="K99" s="206"/>
    </row>
    <row r="101" ht="64.0" customHeight="1">
      <c r="B101" s="214" t="inlineStr">
        <is>
          <t xml:space="preserve">O quadro testa o cenário CPC 15 sob duas hipóteses adversas. RISCO 2: o fisco não aceita a camada da mais-valia — o custo fiscal recua para a base contábil (custo original + reflexo do PL contábil da CNP). RISCO 1: o fisco não aceita nenhuma camada do reflexo — resta apenas o custo original remanescente (cenário A da aba 'Cálculos da Operação'). Cada degrau de risco tem valor fixo, igual a 34% da camada negada, independentemente do preço de venda.</t>
        </is>
      </c>
      <c r="C101" s="214"/>
      <c r="D101" s="214"/>
      <c r="E101" s="214"/>
      <c r="F101" s="214"/>
      <c r="G101" s="214"/>
      <c r="H101" s="214"/>
    </row>
    <row r="103" ht="48" customHeight="1">
      <c r="B103" s="221" t="inlineStr">
        <is>
          <t xml:space="preserve">Cenário de preço</t>
        </is>
      </c>
      <c r="C103" s="222" t="inlineStr">
        <is>
          <t xml:space="preserve">Preço de venda</t>
        </is>
      </c>
      <c r="D103" s="222" t="inlineStr">
        <is>
          <t xml:space="preserve">CPC 15 — custo integral (bloco 1)</t>
        </is>
      </c>
      <c r="E103" s="222" t="inlineStr">
        <is>
          <t xml:space="preserve">RISCO 2 — fisco nega a mais-valia</t>
        </is>
      </c>
      <c r="F103" s="222" t="inlineStr">
        <is>
          <t xml:space="preserve">RISCO 1 — fisco nega todo o reflexo</t>
        </is>
      </c>
      <c r="G103" s="222" t="inlineStr">
        <is>
          <t xml:space="preserve">Δ RISCO 2 = 34% × mais-valia</t>
        </is>
      </c>
      <c r="H103" s="222" t="inlineStr">
        <is>
          <t xml:space="preserve">Δ RISCO 1 = 34% × incremento em discussão</t>
        </is>
      </c>
    </row>
    <row r="104" ht="16" customHeight="1">
      <c r="B104" s="220" t="inlineStr">
        <is>
          <t xml:space="preserve">Custo fiscal considerado em cada hipótese</t>
        </is>
      </c>
      <c r="C104" s="233" t="inlineStr">
        <is>
          <t xml:space="preserve">–</t>
        </is>
      </c>
      <c r="D104" s="227">
        <f>E38</f>
        <v>645.6</v>
      </c>
      <c r="E104" s="227">
        <f>E38-E37</f>
        <v>632.4</v>
      </c>
      <c r="F104" s="227">
        <f>E34</f>
        <v>176.798143851508</v>
      </c>
      <c r="G104" s="227">
        <f>D104-E104</f>
        <v>13.2</v>
      </c>
      <c r="H104" s="227">
        <f>D104-F104</f>
        <v>468.801856148492</v>
      </c>
    </row>
    <row r="105" ht="16" customHeight="1">
      <c r="B105" s="216" t="inlineStr">
        <is>
          <t xml:space="preserve">Abaixo do valor justo</t>
        </is>
      </c>
      <c r="C105" s="225">
        <f>C83</f>
        <v>1000</v>
      </c>
      <c r="D105" s="223">
        <f>(C105-$D$104)*$C$21</f>
        <v>120.496</v>
      </c>
      <c r="E105" s="223">
        <f>(C105-$E$104)*$C$21</f>
        <v>124.984</v>
      </c>
      <c r="F105" s="223">
        <f>(C105-$F$104)*$C$21</f>
        <v>279.888631090487</v>
      </c>
      <c r="G105" s="225">
        <f>E105-D105</f>
        <v>4.48800000000003</v>
      </c>
      <c r="H105" s="225">
        <f>F105-D105</f>
        <v>159.392631090487</v>
      </c>
    </row>
    <row r="106" ht="16" customHeight="1">
      <c r="B106" s="216" t="inlineStr">
        <is>
          <t xml:space="preserve">Igual ao valor justo</t>
        </is>
      </c>
      <c r="C106" s="225">
        <f>C84</f>
        <v>3573</v>
      </c>
      <c r="D106" s="223">
        <f>(C106-$D$104)*$C$21</f>
        <v>995.316</v>
      </c>
      <c r="E106" s="223">
        <f>(C106-$E$104)*$C$21</f>
        <v>999.804</v>
      </c>
      <c r="F106" s="223">
        <f>(C106-$F$104)*$C$21</f>
        <v>1154.70863109049</v>
      </c>
      <c r="G106" s="225">
        <f>E106-D106</f>
        <v>4.48799999999994</v>
      </c>
      <c r="H106" s="225">
        <f>F106-D106</f>
        <v>159.392631090487</v>
      </c>
    </row>
    <row r="107" ht="16" customHeight="1">
      <c r="B107" s="216" t="inlineStr">
        <is>
          <t xml:space="preserve">Acima do valor justo</t>
        </is>
      </c>
      <c r="C107" s="225">
        <f>C85</f>
        <v>5000</v>
      </c>
      <c r="D107" s="223">
        <f>(C107-$D$104)*$C$21</f>
        <v>1480.496</v>
      </c>
      <c r="E107" s="223">
        <f>(C107-$E$104)*$C$21</f>
        <v>1484.984</v>
      </c>
      <c r="F107" s="223">
        <f>(C107-$F$104)*$C$21</f>
        <v>1639.88863109049</v>
      </c>
      <c r="G107" s="225">
        <f>E107-D107</f>
        <v>4.48800000000006</v>
      </c>
      <c r="H107" s="225">
        <f>F107-D107</f>
        <v>159.392631090487</v>
      </c>
    </row>
    <row r="108" ht="64.0" customHeight="1">
      <c r="B108" s="214" t="inlineStr">
        <is>
          <t xml:space="preserve">Leitura: o RISCO 2 coincide com o CPC 19 nas vendas ao valor justo ou acima (mesma base contábil); abaixo do valor justo o CPC 19 continua pior, pelo piso do imposto carimbado. Já o RISCO 1 supera o CPC 19 em qualquer preço a partir do valor justo: se a tese de neutralidade do reflexo do PL contábil da CNP fosse integralmente afastada, o CPC 15 deixaria de ser o cenário mais favorável na venda futura — daí a importância de documentar a tese e o laudo (PPA).</t>
        </is>
      </c>
      <c r="C108" s="214"/>
      <c r="D108" s="214"/>
      <c r="E108" s="214"/>
      <c r="F108" s="214"/>
      <c r="G108" s="214"/>
      <c r="H108" s="214"/>
    </row>
    <row r="110" ht="18.5" customHeight="1">
      <c r="B110" s="206" t="inlineStr">
        <is>
          <t xml:space="preserve">5) Conclusão executiva — CPC 15 × CPC 19</t>
        </is>
      </c>
      <c r="C110" s="206"/>
      <c r="D110" s="206"/>
      <c r="E110" s="206"/>
      <c r="F110" s="206"/>
      <c r="G110" s="206"/>
      <c r="H110" s="206"/>
      <c r="I110" s="206"/>
      <c r="J110" s="206"/>
      <c r="K110" s="206"/>
    </row>
    <row r="112" ht="32" customHeight="1">
      <c r="B112" s="221" t="inlineStr">
        <is>
          <t xml:space="preserve">Ponto de comparação</t>
        </is>
      </c>
      <c r="C112" s="222" t="inlineStr">
        <is>
          <t xml:space="preserve">CPC 15</t>
        </is>
      </c>
      <c r="D112" s="222" t="inlineStr">
        <is>
          <t xml:space="preserve">CPC 19</t>
        </is>
      </c>
      <c r="E112" s="222" t="inlineStr">
        <is>
          <t xml:space="preserve">Δ (CPC 19 − CPC 15)</t>
        </is>
      </c>
      <c r="F112" s="221" t="inlineStr">
        <is>
          <t xml:space="preserve">Leitura</t>
        </is>
      </c>
      <c r="G112" s="221"/>
      <c r="H112" s="221"/>
    </row>
    <row r="113" ht="30" customHeight="1">
      <c r="B113" s="216" t="inlineStr">
        <is>
          <t xml:space="preserve">Custo do investimento das Holdings após o cash-out</t>
        </is>
      </c>
      <c r="C113" s="223">
        <f>E38</f>
        <v>645.6</v>
      </c>
      <c r="D113" s="223">
        <f>D60</f>
        <v>3573</v>
      </c>
      <c r="E113" s="225">
        <f>D113-C113</f>
        <v>2927.4</v>
      </c>
      <c r="F113" s="216" t="inlineStr">
        <is>
          <t xml:space="preserve">No CPC 19 o custo inclui 60% do AVJ de toda a JO; no CPC 15 apenas o reflexo da CNP a valor de mercado.</t>
        </is>
      </c>
      <c r="G113" s="216"/>
      <c r="H113" s="216"/>
    </row>
    <row r="114" ht="30" customHeight="1">
      <c r="B114" s="216" t="inlineStr">
        <is>
          <t xml:space="preserve">Parcela do custo com IR diferido (CPC 19) ou em discussão com o fisco (CPC 15)</t>
        </is>
      </c>
      <c r="C114" s="223">
        <f>C44+C45</f>
        <v>468.801856148492</v>
      </c>
      <c r="D114" s="223">
        <f>D62</f>
        <v>2940.6</v>
      </c>
      <c r="E114" s="225">
        <f>D114-C114</f>
        <v>2471.79814385151</v>
      </c>
      <c r="F114" s="216" t="inlineStr">
        <is>
          <t xml:space="preserve">CPC 15: reflexo cuja neutralidade depende de tese; CPC 19: AVJ carimbado, sem discussão.</t>
        </is>
      </c>
      <c r="G114" s="216"/>
      <c r="H114" s="216"/>
    </row>
    <row r="115" ht="30" customHeight="1">
      <c r="B115" s="216" t="inlineStr">
        <is>
          <t xml:space="preserve">IR potencial sobre essa parcela (34%)</t>
        </is>
      </c>
      <c r="C115" s="223">
        <f>E46</f>
        <v>159.392631090487</v>
      </c>
      <c r="D115" s="223">
        <f>D63</f>
        <v>999.804</v>
      </c>
      <c r="E115" s="225">
        <f>D115-C115</f>
        <v>840.411368909513</v>
      </c>
      <c r="F115" s="216" t="inlineStr">
        <is>
          <t xml:space="preserve">CPC 15: devido só se o fisco negar o custo e prevalecer; CPC 19: devido na venda, qualquer que seja o preço.</t>
        </is>
      </c>
      <c r="G115" s="216"/>
      <c r="H115" s="216"/>
    </row>
    <row r="116" ht="30" customHeight="1">
      <c r="B116" s="216" t="inlineStr">
        <is>
          <t xml:space="preserve">IR na venda pela Holding — preço abaixo do valor justo</t>
        </is>
      </c>
      <c r="C116" s="223">
        <f>D83</f>
        <v>120.496</v>
      </c>
      <c r="D116" s="223">
        <f>F83</f>
        <v>999.804</v>
      </c>
      <c r="E116" s="225">
        <f>D116-C116</f>
        <v>879.308</v>
      </c>
      <c r="F116" s="216" t="inlineStr">
        <is>
          <t xml:space="preserve">O piso do imposto carimbado torna o CPC 19 muito mais oneroso em vendas abaixo do valor justo.</t>
        </is>
      </c>
      <c r="G116" s="216"/>
      <c r="H116" s="216"/>
    </row>
    <row r="117" ht="30" customHeight="1">
      <c r="B117" s="216" t="inlineStr">
        <is>
          <t xml:space="preserve">IR na venda pela Holding — preço igual ao valor justo</t>
        </is>
      </c>
      <c r="C117" s="223">
        <f>D84</f>
        <v>995.316</v>
      </c>
      <c r="D117" s="223">
        <f>F84</f>
        <v>999.804</v>
      </c>
      <c r="E117" s="225">
        <f>D117-C117</f>
        <v>4.48799999999994</v>
      </c>
      <c r="F117" s="216" t="inlineStr">
        <is>
          <t xml:space="preserve">Diferença = 34% da mais-valia da CNP: nos preços a partir do valor justo os regimes se aproximam.</t>
        </is>
      </c>
      <c r="G117" s="216"/>
      <c r="H117" s="216"/>
    </row>
    <row r="118" ht="30" customHeight="1">
      <c r="B118" s="216" t="inlineStr">
        <is>
          <t xml:space="preserve">IR na venda pela Holding — preço acima do valor justo</t>
        </is>
      </c>
      <c r="C118" s="223">
        <f>D85</f>
        <v>1480.496</v>
      </c>
      <c r="D118" s="223">
        <f>F85</f>
        <v>1484.984</v>
      </c>
      <c r="E118" s="225">
        <f>D118-C118</f>
        <v>4.48800000000006</v>
      </c>
      <c r="F118" s="216" t="inlineStr">
        <is>
          <t xml:space="preserve">Mesma diferença fixa; o excedente ao valor justo é tributado a 34% nos dois regimes.</t>
        </is>
      </c>
      <c r="G118" s="216"/>
      <c r="H118" s="216"/>
    </row>
    <row r="119" ht="30" customHeight="1">
      <c r="B119" s="216" t="inlineStr">
        <is>
          <t xml:space="preserve">IR na venda pelas pessoas físicas — preço igual ao valor justo</t>
        </is>
      </c>
      <c r="C119" s="223">
        <f>E84</f>
        <v>799.875</v>
      </c>
      <c r="D119" s="223">
        <f>G84</f>
        <v>999.804</v>
      </c>
      <c r="E119" s="225">
        <f>D119-C119</f>
        <v>199.929</v>
      </c>
      <c r="F119" s="216" t="inlineStr">
        <is>
          <t xml:space="preserve">Só o CPC 15 permite capturar a alíquota de 22,5%; no CPC 19 o imposto carimbado fica na Holding.</t>
        </is>
      </c>
      <c r="G119" s="216"/>
      <c r="H119" s="216"/>
    </row>
    <row r="120" ht="30" customHeight="1">
      <c r="B120" s="216" t="inlineStr">
        <is>
          <t xml:space="preserve">CPC 15 em cenário adverso (RISCO 1) × CPC 19 — preço igual ao valor justo</t>
        </is>
      </c>
      <c r="C120" s="223">
        <f>F106</f>
        <v>1154.70863109049</v>
      </c>
      <c r="D120" s="223">
        <f>F84</f>
        <v>999.804</v>
      </c>
      <c r="E120" s="225">
        <f>D120-C120</f>
        <v>-154.904631090487</v>
      </c>
      <c r="F120" s="216" t="inlineStr">
        <is>
          <t xml:space="preserve">Se a tese de neutralidade do reflexo for integralmente afastada, o CPC 15 passa a ser mais oneroso que o CPC 19.</t>
        </is>
      </c>
      <c r="G120" s="216"/>
      <c r="H120" s="216"/>
    </row>
    <row r="122" ht="64.0" customHeight="1">
      <c r="B122" s="215" t="inlineStr">
        <is>
          <t xml:space="preserve">• CPC 15 é o cenário mais favorável às Holdings: o custo do investimento incorpora o reflexo da incorporação sem registro de passivo fiscal diferido, o imposto na venda futura acompanha o preço e existe a alternativa de venda pelas pessoas físicas à alíquota de 22,5%. O risco concentra-se na neutralidade do reflexo do PL contábil da CNP (bloco 1); com as premissas atuais a mais-valia é pequena e o imposto potencial sobre ela é residual.</t>
        </is>
      </c>
      <c r="C122" s="215"/>
      <c r="D122" s="215"/>
      <c r="E122" s="215"/>
      <c r="F122" s="215"/>
      <c r="G122" s="215"/>
      <c r="H122" s="215"/>
    </row>
    <row r="123" ht="64.0" customHeight="1">
      <c r="B123" s="215" t="inlineStr">
        <is>
          <t xml:space="preserve">• CPC 19 elimina a discussão sobre o custo, mas ao preço de reconhecer ganho de AVJ sobre toda a JO — inclusive a Embracon, que no CPC 15 não é reavaliada — com IRPJ/CSLL de 34% carimbado e devido na venda em qualquer cenário de preço, sem a alternativa da PF. Além disso, o valor patrimonial das Holdings sobe ao valor justo, com impacto direto na base de cálculo do ITCMD (tema não tratado neste material).</t>
        </is>
      </c>
      <c r="C123" s="215"/>
      <c r="D123" s="215"/>
      <c r="E123" s="215"/>
      <c r="F123" s="215"/>
      <c r="G123" s="215"/>
      <c r="H123" s="215"/>
    </row>
    <row r="124" ht="64.0" customHeight="1">
      <c r="B124" s="215" t="inlineStr">
        <is>
          <t xml:space="preserve">• Na venda ao valor justo ou acima, a carga dos dois regimes é próxima (diferença = 34% da mais-valia da CNP); abaixo do valor justo, o CPC 19 é substancialmente mais oneroso. Se a tese de neutralidade do reflexo fosse integralmente afastada (RISCO 1), o CPC 15 passaria a ser mais oneroso que o CPC 19 nas vendas a partir do valor justo — daí a importância de documentar a tese e o laudo de avaliação (PPA).</t>
        </is>
      </c>
      <c r="C124" s="215"/>
      <c r="D124" s="215"/>
      <c r="E124" s="215"/>
      <c r="F124" s="215"/>
      <c r="G124" s="215"/>
      <c r="H124" s="215"/>
    </row>
    <row r="126" ht="79.0" customHeight="1">
      <c r="B126" s="214" t="inlineStr">
        <is>
          <t xml:space="preserve">Ressalvas: valores ilustrativos em R$ milhões, data-base 30.06.2026, com as premissas da aba 'Cálculos da Operação' e valor justo da Embracon pelo EV do Acordo de Investimento. As Holdings estão no lucro presumido; na venda futura, a carga efetiva na PJ poderia ser reduzida com a opção pelo lucro real e a existência de prejuízos compensáveis. O custo das quotas nas PFs é premissa ilustrativa a confirmar. O material não avalia o ITCMD nem o cash-out no CPC 19, tratado na aba 'Cálculos da Operação' com o custo original (cenário A) e o incrementado (cenário B).</t>
        </is>
      </c>
      <c r="C126" s="214"/>
      <c r="D126" s="214"/>
      <c r="E126" s="214"/>
      <c r="F126" s="214"/>
      <c r="G126" s="214"/>
      <c r="H126" s="214"/>
    </row>
  </sheetData>
  <mergeCells count="78">
    <mergeCell ref="B8:K8"/>
    <mergeCell ref="B10:H10"/>
    <mergeCell ref="B11:H11"/>
    <mergeCell ref="B13:H13"/>
    <mergeCell ref="D14:H14"/>
    <mergeCell ref="D15:H15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B28:K28"/>
    <mergeCell ref="B30:H30"/>
    <mergeCell ref="B32:H32"/>
    <mergeCell ref="B41:H41"/>
    <mergeCell ref="F42:H42"/>
    <mergeCell ref="F43:H43"/>
    <mergeCell ref="F44:H44"/>
    <mergeCell ref="F45:H45"/>
    <mergeCell ref="F46:H46"/>
    <mergeCell ref="B49:K49"/>
    <mergeCell ref="B51:H51"/>
    <mergeCell ref="B53:H53"/>
    <mergeCell ref="D54:H54"/>
    <mergeCell ref="B56:H56"/>
    <mergeCell ref="E57:H57"/>
    <mergeCell ref="E58:H58"/>
    <mergeCell ref="E59:H59"/>
    <mergeCell ref="E60:H60"/>
    <mergeCell ref="E61:H61"/>
    <mergeCell ref="E62:H62"/>
    <mergeCell ref="E63:H63"/>
    <mergeCell ref="B65:H65"/>
    <mergeCell ref="E66:H66"/>
    <mergeCell ref="E67:H67"/>
    <mergeCell ref="E68:H68"/>
    <mergeCell ref="B70:K70"/>
    <mergeCell ref="B72:H72"/>
    <mergeCell ref="B74:H74"/>
    <mergeCell ref="D75:H75"/>
    <mergeCell ref="D76:H76"/>
    <mergeCell ref="D77:H77"/>
    <mergeCell ref="D78:H78"/>
    <mergeCell ref="D79:H79"/>
    <mergeCell ref="B81:H81"/>
    <mergeCell ref="B86:H86"/>
    <mergeCell ref="B87:H87"/>
    <mergeCell ref="B89:H89"/>
    <mergeCell ref="D90:H90"/>
    <mergeCell ref="D91:H91"/>
    <mergeCell ref="D92:H92"/>
    <mergeCell ref="D93:H93"/>
    <mergeCell ref="D94:H94"/>
    <mergeCell ref="D95:H95"/>
    <mergeCell ref="D96:H96"/>
    <mergeCell ref="D97:H97"/>
    <mergeCell ref="B99:K99"/>
    <mergeCell ref="B101:H101"/>
    <mergeCell ref="B108:H108"/>
    <mergeCell ref="B110:K110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B122:H122"/>
    <mergeCell ref="B123:H123"/>
    <mergeCell ref="B124:H124"/>
    <mergeCell ref="B126:H126"/>
  </mergeCells>
  <pageMargins left="0.511811024" right="0.511811024" top="0.78740157499999996" bottom="0.78740157499999996" header="0.31496062000000002" footer="0.31496062000000002"/>
  <pageSetup paperSize="9" orientation="landscape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CA2C-2836-4D9B-8673-71BC12F496CF}">
  <dimension ref="B2:M27"/>
  <sheetViews>
    <sheetView showGridLines="0" zoomScale="115" zoomScaleNormal="115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36.6328125" style="3" bestFit="1" customWidth="1"/>
    <col min="3" max="3" width="70.08984375" style="3" bestFit="1" customWidth="1"/>
    <col min="4" max="4" width="16" style="2" bestFit="1" customWidth="1"/>
    <col min="5" max="5" width="25.453125" style="3" bestFit="1" customWidth="1"/>
    <col min="6" max="6" width="27.36328125" style="3" bestFit="1" customWidth="1"/>
    <col min="7" max="7" width="16" style="3" customWidth="1"/>
    <col min="8" max="8" width="13.36328125" style="3" customWidth="1"/>
    <col min="9" max="9" width="27.36328125" style="3" bestFit="1" customWidth="1"/>
    <col min="10" max="10" width="15" style="3" bestFit="1" customWidth="1"/>
    <col min="11" max="11" width="17.81640625" style="3" bestFit="1" customWidth="1"/>
    <col min="12" max="13" width="26" style="3" customWidth="1"/>
    <col min="14" max="16384" width="9.08984375" style="3"/>
  </cols>
  <sheetData>
    <row r="2" spans="2:13" x14ac:dyDescent="0.35">
      <c r="C2" s="1"/>
      <c r="D2" s="4"/>
      <c r="E2" s="5"/>
      <c r="F2" s="5"/>
      <c r="G2" s="5"/>
      <c r="H2" s="5"/>
      <c r="I2" s="5"/>
      <c r="J2" s="7"/>
      <c r="K2" s="7" t="s">
        <v>57</v>
      </c>
      <c r="L2" s="7"/>
      <c r="M2" s="7"/>
    </row>
    <row r="3" spans="2:13" x14ac:dyDescent="0.35">
      <c r="B3" s="96" t="s">
        <v>0</v>
      </c>
      <c r="C3" s="97" t="s">
        <v>52</v>
      </c>
      <c r="D3" s="98"/>
      <c r="E3" s="97"/>
      <c r="F3" s="97"/>
      <c r="G3" s="99">
        <v>45627</v>
      </c>
      <c r="H3" s="5"/>
      <c r="I3" s="64" t="s">
        <v>54</v>
      </c>
      <c r="J3" s="65">
        <v>956469.60499999975</v>
      </c>
      <c r="K3" s="5" t="s">
        <v>2</v>
      </c>
      <c r="L3" s="8"/>
      <c r="M3" s="8"/>
    </row>
    <row r="4" spans="2:13" x14ac:dyDescent="0.35">
      <c r="B4" s="69" t="s">
        <v>30</v>
      </c>
      <c r="C4" s="33"/>
      <c r="D4" s="50">
        <f>SUM(D5+D11)</f>
        <v>10218399.67</v>
      </c>
      <c r="E4" s="69" t="s">
        <v>31</v>
      </c>
      <c r="F4" s="33"/>
      <c r="G4" s="50">
        <f>SUM(G5+G10+G13)</f>
        <v>10218399.669999996</v>
      </c>
      <c r="I4" s="66" t="s">
        <v>55</v>
      </c>
      <c r="J4" s="67">
        <v>956469.60499999975</v>
      </c>
      <c r="K4" s="5" t="s">
        <v>2</v>
      </c>
      <c r="L4" s="8"/>
      <c r="M4" s="8"/>
    </row>
    <row r="5" spans="2:13" x14ac:dyDescent="0.35">
      <c r="B5" s="72" t="s">
        <v>32</v>
      </c>
      <c r="C5" s="35"/>
      <c r="D5" s="53">
        <f>SUM(D6:D10)</f>
        <v>1964054.2400000002</v>
      </c>
      <c r="E5" s="70" t="s">
        <v>33</v>
      </c>
      <c r="F5" s="35"/>
      <c r="G5" s="53">
        <f>SUM(G6:G9)</f>
        <v>132218.99</v>
      </c>
      <c r="H5" s="5"/>
      <c r="I5" s="21"/>
      <c r="J5" s="22">
        <f>SUM(J3+J4)</f>
        <v>1912939.2099999995</v>
      </c>
      <c r="L5" s="8"/>
      <c r="M5" s="8"/>
    </row>
    <row r="6" spans="2:13" x14ac:dyDescent="0.35">
      <c r="B6" s="71"/>
      <c r="C6" s="35" t="s">
        <v>34</v>
      </c>
      <c r="D6" s="36">
        <v>2</v>
      </c>
      <c r="E6" s="89"/>
      <c r="F6" s="35" t="s">
        <v>37</v>
      </c>
      <c r="G6" s="36">
        <v>0</v>
      </c>
      <c r="I6" s="23" t="s">
        <v>1</v>
      </c>
      <c r="J6" s="24">
        <v>34739.57</v>
      </c>
      <c r="K6" s="5" t="s">
        <v>2</v>
      </c>
      <c r="L6" s="8"/>
      <c r="M6" s="8"/>
    </row>
    <row r="7" spans="2:13" x14ac:dyDescent="0.35">
      <c r="B7" s="71"/>
      <c r="C7" s="35" t="s">
        <v>42</v>
      </c>
      <c r="D7" s="36">
        <v>1072152.57</v>
      </c>
      <c r="E7" s="89"/>
      <c r="F7" s="35" t="s">
        <v>35</v>
      </c>
      <c r="G7" s="36">
        <v>102122.6</v>
      </c>
      <c r="J7" s="8"/>
      <c r="K7" s="38"/>
      <c r="L7" s="8"/>
      <c r="M7" s="8"/>
    </row>
    <row r="8" spans="2:13" x14ac:dyDescent="0.35">
      <c r="B8" s="71"/>
      <c r="C8" s="35" t="s">
        <v>36</v>
      </c>
      <c r="D8" s="36">
        <v>22442.37</v>
      </c>
      <c r="E8" s="89"/>
      <c r="F8" s="35" t="s">
        <v>38</v>
      </c>
      <c r="G8" s="36">
        <v>30096.39</v>
      </c>
      <c r="J8" s="8"/>
      <c r="K8" s="38"/>
      <c r="L8" s="8"/>
      <c r="M8" s="8"/>
    </row>
    <row r="9" spans="2:13" x14ac:dyDescent="0.35">
      <c r="B9" s="71"/>
      <c r="C9" s="35" t="s">
        <v>43</v>
      </c>
      <c r="D9" s="36">
        <v>326886.99</v>
      </c>
      <c r="E9" s="72"/>
      <c r="F9" s="35" t="s">
        <v>48</v>
      </c>
      <c r="G9" s="52">
        <v>0</v>
      </c>
    </row>
    <row r="10" spans="2:13" x14ac:dyDescent="0.35">
      <c r="B10" s="72"/>
      <c r="C10" s="35" t="s">
        <v>44</v>
      </c>
      <c r="D10" s="52">
        <v>542570.31000000006</v>
      </c>
      <c r="E10" s="70" t="s">
        <v>39</v>
      </c>
      <c r="F10" s="35"/>
      <c r="G10" s="53">
        <f>SUM(G11:G12)</f>
        <v>32527.279999999999</v>
      </c>
    </row>
    <row r="11" spans="2:13" x14ac:dyDescent="0.35">
      <c r="B11" s="82" t="s">
        <v>46</v>
      </c>
      <c r="C11" s="40"/>
      <c r="D11" s="84">
        <f>D13</f>
        <v>8254345.4299999997</v>
      </c>
      <c r="E11" s="71"/>
      <c r="F11" s="35" t="s">
        <v>47</v>
      </c>
      <c r="G11" s="36">
        <v>32527.279999999999</v>
      </c>
    </row>
    <row r="12" spans="2:13" x14ac:dyDescent="0.35">
      <c r="B12" s="39"/>
      <c r="C12" s="40" t="s">
        <v>40</v>
      </c>
      <c r="D12" s="41">
        <v>0</v>
      </c>
      <c r="E12" s="72"/>
      <c r="F12" s="56" t="s">
        <v>37</v>
      </c>
      <c r="G12" s="52">
        <v>0</v>
      </c>
    </row>
    <row r="13" spans="2:13" x14ac:dyDescent="0.35">
      <c r="B13" s="39"/>
      <c r="C13" s="40" t="s">
        <v>45</v>
      </c>
      <c r="D13" s="49">
        <v>8254345.4299999997</v>
      </c>
      <c r="E13" s="73" t="s">
        <v>41</v>
      </c>
      <c r="F13" s="40"/>
      <c r="G13" s="74">
        <f>SUM(G14:G17)</f>
        <v>10053653.399999997</v>
      </c>
    </row>
    <row r="14" spans="2:13" x14ac:dyDescent="0.35">
      <c r="B14" s="39"/>
      <c r="C14" s="40"/>
      <c r="D14" s="41"/>
      <c r="E14" s="40"/>
      <c r="F14" s="40" t="s">
        <v>49</v>
      </c>
      <c r="G14" s="41">
        <v>14139130</v>
      </c>
    </row>
    <row r="15" spans="2:13" x14ac:dyDescent="0.35">
      <c r="B15" s="39"/>
      <c r="C15" s="40"/>
      <c r="D15" s="41"/>
      <c r="E15" s="40"/>
      <c r="F15" s="40" t="s">
        <v>50</v>
      </c>
      <c r="G15" s="41">
        <v>4562148.38</v>
      </c>
    </row>
    <row r="16" spans="2:13" x14ac:dyDescent="0.35">
      <c r="B16" s="39"/>
      <c r="C16" s="40"/>
      <c r="D16" s="41"/>
      <c r="E16" s="40"/>
      <c r="F16" s="40" t="s">
        <v>53</v>
      </c>
      <c r="G16" s="41">
        <v>48664.65</v>
      </c>
    </row>
    <row r="17" spans="2:7" x14ac:dyDescent="0.35">
      <c r="B17" s="47"/>
      <c r="C17" s="48"/>
      <c r="D17" s="49"/>
      <c r="E17" s="48"/>
      <c r="F17" s="48" t="s">
        <v>51</v>
      </c>
      <c r="G17" s="49">
        <v>-8696289.6300000008</v>
      </c>
    </row>
    <row r="18" spans="2:7" x14ac:dyDescent="0.35">
      <c r="D18" s="44"/>
      <c r="G18" s="44"/>
    </row>
    <row r="20" spans="2:7" ht="13.5" thickBot="1" x14ac:dyDescent="0.4"/>
    <row r="21" spans="2:7" ht="26.5" thickBot="1" x14ac:dyDescent="0.4">
      <c r="B21" s="25" t="s">
        <v>3</v>
      </c>
      <c r="C21" s="26" t="s">
        <v>4</v>
      </c>
      <c r="D21" s="26" t="s">
        <v>5</v>
      </c>
      <c r="E21" s="9" t="s">
        <v>6</v>
      </c>
    </row>
    <row r="22" spans="2:7" ht="40" thickTop="1" thickBot="1" x14ac:dyDescent="0.4">
      <c r="B22" s="27" t="s">
        <v>7</v>
      </c>
      <c r="C22" s="16" t="s">
        <v>8</v>
      </c>
      <c r="D22" s="10" t="s">
        <v>9</v>
      </c>
      <c r="E22" s="11" t="s">
        <v>10</v>
      </c>
    </row>
    <row r="23" spans="2:7" ht="40" thickTop="1" thickBot="1" x14ac:dyDescent="0.4">
      <c r="B23" s="28" t="s">
        <v>11</v>
      </c>
      <c r="C23" s="12" t="s">
        <v>12</v>
      </c>
      <c r="D23" s="12" t="s">
        <v>13</v>
      </c>
      <c r="E23" s="13" t="s">
        <v>14</v>
      </c>
    </row>
    <row r="24" spans="2:7" ht="39.5" thickTop="1" x14ac:dyDescent="0.35">
      <c r="B24" s="29" t="s">
        <v>15</v>
      </c>
      <c r="C24" s="10" t="s">
        <v>16</v>
      </c>
      <c r="D24" s="10" t="s">
        <v>17</v>
      </c>
      <c r="E24" s="11" t="s">
        <v>18</v>
      </c>
    </row>
    <row r="25" spans="2:7" ht="78.5" thickBot="1" x14ac:dyDescent="0.4">
      <c r="B25" s="30" t="s">
        <v>19</v>
      </c>
      <c r="C25" s="14" t="s">
        <v>20</v>
      </c>
      <c r="D25" s="14" t="s">
        <v>21</v>
      </c>
      <c r="E25" s="15" t="s">
        <v>22</v>
      </c>
    </row>
    <row r="26" spans="2:7" ht="39.5" thickTop="1" x14ac:dyDescent="0.35">
      <c r="B26" s="31" t="s">
        <v>23</v>
      </c>
      <c r="C26" s="45" t="s">
        <v>24</v>
      </c>
      <c r="D26" s="16" t="s">
        <v>25</v>
      </c>
      <c r="E26" s="15" t="s">
        <v>26</v>
      </c>
    </row>
    <row r="27" spans="2:7" ht="39.5" thickBot="1" x14ac:dyDescent="0.4">
      <c r="B27" s="32" t="s">
        <v>27</v>
      </c>
      <c r="C27" s="46" t="s">
        <v>28</v>
      </c>
      <c r="D27" s="17" t="s">
        <v>13</v>
      </c>
      <c r="E27" s="18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62AB-6247-42E7-8174-D63DA5E29B76}">
  <dimension ref="B1:N15"/>
  <sheetViews>
    <sheetView showGridLines="0" zoomScale="115" zoomScaleNormal="115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26.453125" style="3" customWidth="1"/>
    <col min="3" max="3" width="39.453125" style="3" bestFit="1" customWidth="1"/>
    <col min="4" max="4" width="15" style="2" bestFit="1" customWidth="1"/>
    <col min="5" max="5" width="16.08984375" style="3" bestFit="1" customWidth="1"/>
    <col min="6" max="6" width="27.36328125" style="3" bestFit="1" customWidth="1"/>
    <col min="7" max="7" width="15" style="3" bestFit="1" customWidth="1"/>
    <col min="8" max="8" width="13.36328125" style="3" customWidth="1"/>
    <col min="9" max="9" width="46.81640625" style="3" bestFit="1" customWidth="1"/>
    <col min="10" max="10" width="17.36328125" style="3" bestFit="1" customWidth="1"/>
    <col min="11" max="11" width="34.08984375" style="3" customWidth="1"/>
    <col min="12" max="12" width="64.36328125" style="3" bestFit="1" customWidth="1"/>
    <col min="13" max="14" width="26" style="3" customWidth="1"/>
    <col min="15" max="16384" width="9.08984375" style="3"/>
  </cols>
  <sheetData>
    <row r="1" spans="2:14" x14ac:dyDescent="0.35">
      <c r="I1" s="58"/>
      <c r="J1" s="58"/>
      <c r="K1" s="58"/>
    </row>
    <row r="2" spans="2:14" x14ac:dyDescent="0.35">
      <c r="C2" s="1"/>
      <c r="D2" s="4"/>
      <c r="E2" s="5"/>
      <c r="F2" s="5"/>
      <c r="G2" s="5"/>
      <c r="H2" s="5"/>
      <c r="I2" s="59"/>
      <c r="J2" s="59"/>
      <c r="K2" s="7"/>
      <c r="L2" s="7"/>
      <c r="M2" s="7"/>
      <c r="N2" s="7"/>
    </row>
    <row r="3" spans="2:14" x14ac:dyDescent="0.35">
      <c r="B3" s="96" t="s">
        <v>59</v>
      </c>
      <c r="C3" s="97" t="s">
        <v>60</v>
      </c>
      <c r="D3" s="98"/>
      <c r="E3" s="97"/>
      <c r="F3" s="97"/>
      <c r="G3" s="99">
        <v>45627</v>
      </c>
      <c r="H3" s="5"/>
      <c r="I3" s="60"/>
      <c r="J3" s="60"/>
      <c r="K3" s="61"/>
      <c r="L3" s="107" t="s">
        <v>58</v>
      </c>
      <c r="M3" s="8"/>
      <c r="N3" s="8"/>
    </row>
    <row r="4" spans="2:14" x14ac:dyDescent="0.35">
      <c r="B4" s="69" t="s">
        <v>30</v>
      </c>
      <c r="C4" s="33"/>
      <c r="D4" s="50">
        <f>SUM(D5+D9)</f>
        <v>1167425.47</v>
      </c>
      <c r="E4" s="85" t="s">
        <v>31</v>
      </c>
      <c r="F4" s="33"/>
      <c r="G4" s="50">
        <f>G5+G7</f>
        <v>1167425.4700000002</v>
      </c>
      <c r="I4" s="60"/>
      <c r="J4" s="60"/>
      <c r="K4" s="61"/>
      <c r="L4" s="107"/>
      <c r="M4" s="8"/>
      <c r="N4" s="8"/>
    </row>
    <row r="5" spans="2:14" x14ac:dyDescent="0.35">
      <c r="B5" s="70" t="s">
        <v>32</v>
      </c>
      <c r="C5" s="35"/>
      <c r="D5" s="53">
        <f>SUM(D6:D8)</f>
        <v>383408.32999999996</v>
      </c>
      <c r="E5" s="68" t="s">
        <v>33</v>
      </c>
      <c r="G5" s="37">
        <f>G6</f>
        <v>17724.87</v>
      </c>
      <c r="H5" s="5"/>
      <c r="I5" s="58"/>
      <c r="J5" s="58"/>
      <c r="K5" s="62"/>
      <c r="L5" s="107"/>
      <c r="M5" s="8"/>
      <c r="N5" s="8"/>
    </row>
    <row r="6" spans="2:14" x14ac:dyDescent="0.35">
      <c r="B6" s="71"/>
      <c r="C6" s="35" t="s">
        <v>34</v>
      </c>
      <c r="D6" s="36">
        <v>1</v>
      </c>
      <c r="E6" s="1"/>
      <c r="F6" s="3" t="s">
        <v>66</v>
      </c>
      <c r="G6" s="37">
        <v>17724.87</v>
      </c>
      <c r="I6" s="60"/>
      <c r="J6" s="60"/>
      <c r="K6" s="62"/>
      <c r="L6" s="107"/>
      <c r="M6" s="8"/>
      <c r="N6" s="8"/>
    </row>
    <row r="7" spans="2:14" x14ac:dyDescent="0.35">
      <c r="B7" s="71"/>
      <c r="C7" s="35" t="s">
        <v>62</v>
      </c>
      <c r="D7" s="36">
        <v>317739.28999999998</v>
      </c>
      <c r="E7" s="86" t="s">
        <v>41</v>
      </c>
      <c r="G7" s="43">
        <f>SUM(G8:G10)</f>
        <v>1149700.6000000001</v>
      </c>
      <c r="I7" s="58"/>
      <c r="J7" s="58"/>
      <c r="K7" s="57"/>
      <c r="L7" s="107"/>
      <c r="M7" s="8"/>
      <c r="N7" s="8"/>
    </row>
    <row r="8" spans="2:14" x14ac:dyDescent="0.35">
      <c r="B8" s="71"/>
      <c r="C8" s="35" t="s">
        <v>63</v>
      </c>
      <c r="D8" s="36">
        <v>65668.039999999994</v>
      </c>
      <c r="E8" s="20"/>
      <c r="F8" s="3" t="s">
        <v>49</v>
      </c>
      <c r="G8" s="37">
        <v>1150000</v>
      </c>
      <c r="I8" s="58"/>
      <c r="J8" s="58"/>
      <c r="K8" s="62"/>
      <c r="L8" s="107"/>
    </row>
    <row r="9" spans="2:14" x14ac:dyDescent="0.35">
      <c r="B9" s="72" t="s">
        <v>64</v>
      </c>
      <c r="C9" s="35"/>
      <c r="D9" s="36">
        <f>D10</f>
        <v>784017.14</v>
      </c>
      <c r="E9" s="1"/>
      <c r="F9" s="3" t="s">
        <v>67</v>
      </c>
      <c r="G9" s="37">
        <v>-200000</v>
      </c>
      <c r="I9" s="58"/>
      <c r="J9" s="58"/>
      <c r="K9" s="62"/>
      <c r="L9" s="107"/>
    </row>
    <row r="10" spans="2:14" x14ac:dyDescent="0.35">
      <c r="B10" s="88" t="s">
        <v>69</v>
      </c>
      <c r="C10" s="56" t="s">
        <v>65</v>
      </c>
      <c r="D10" s="52">
        <v>784017.14</v>
      </c>
      <c r="E10" s="87"/>
      <c r="F10" s="42" t="s">
        <v>68</v>
      </c>
      <c r="G10" s="43">
        <v>199700.6</v>
      </c>
      <c r="I10" s="58"/>
      <c r="J10" s="58"/>
      <c r="K10" s="62"/>
      <c r="L10" s="107"/>
    </row>
    <row r="11" spans="2:14" x14ac:dyDescent="0.35">
      <c r="D11" s="44"/>
      <c r="G11" s="44"/>
      <c r="I11" s="58"/>
      <c r="J11" s="58"/>
      <c r="K11" s="62"/>
      <c r="L11" s="107"/>
    </row>
    <row r="12" spans="2:14" x14ac:dyDescent="0.35">
      <c r="D12" s="44"/>
      <c r="G12" s="44"/>
      <c r="I12" s="58"/>
      <c r="J12" s="58"/>
      <c r="K12" s="62"/>
      <c r="L12" s="5"/>
    </row>
    <row r="15" spans="2:14" x14ac:dyDescent="0.35">
      <c r="E15" s="2"/>
    </row>
  </sheetData>
  <mergeCells count="1">
    <mergeCell ref="L3:L1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2FC7-6451-4932-8256-5B62573F937A}">
  <dimension ref="A1:N16"/>
  <sheetViews>
    <sheetView showGridLines="0" zoomScaleNormal="100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58.453125" style="3" bestFit="1" customWidth="1"/>
    <col min="3" max="3" width="19.08984375" style="3" bestFit="1" customWidth="1"/>
    <col min="4" max="4" width="17" style="2" bestFit="1" customWidth="1"/>
    <col min="5" max="5" width="16.08984375" style="3" bestFit="1" customWidth="1"/>
    <col min="6" max="6" width="31.08984375" style="3" bestFit="1" customWidth="1"/>
    <col min="7" max="7" width="17" style="3" bestFit="1" customWidth="1"/>
    <col min="8" max="8" width="13.36328125" style="3" customWidth="1"/>
    <col min="9" max="9" width="46.81640625" style="3" bestFit="1" customWidth="1"/>
    <col min="10" max="10" width="17.36328125" style="3" bestFit="1" customWidth="1"/>
    <col min="11" max="11" width="34.08984375" style="3" customWidth="1"/>
    <col min="12" max="12" width="64.36328125" style="3" bestFit="1" customWidth="1"/>
    <col min="13" max="14" width="26" style="3" customWidth="1"/>
    <col min="15" max="16384" width="9.08984375" style="3"/>
  </cols>
  <sheetData>
    <row r="1" spans="1:14" x14ac:dyDescent="0.35">
      <c r="I1" s="58"/>
      <c r="J1" s="58"/>
      <c r="K1" s="58"/>
    </row>
    <row r="2" spans="1:14" x14ac:dyDescent="0.35">
      <c r="C2" s="1"/>
      <c r="D2" s="4"/>
      <c r="E2" s="5"/>
      <c r="F2" s="5"/>
      <c r="G2" s="5"/>
      <c r="H2" s="5"/>
      <c r="I2" s="59"/>
      <c r="J2" s="59"/>
      <c r="K2" s="7"/>
      <c r="L2" s="7"/>
      <c r="M2" s="7"/>
      <c r="N2" s="7"/>
    </row>
    <row r="3" spans="1:14" x14ac:dyDescent="0.35">
      <c r="B3" s="96" t="s">
        <v>80</v>
      </c>
      <c r="C3" s="97" t="s">
        <v>60</v>
      </c>
      <c r="D3" s="98"/>
      <c r="E3" s="97"/>
      <c r="F3" s="97"/>
      <c r="G3" s="99">
        <v>45627</v>
      </c>
      <c r="H3" s="106" t="s">
        <v>61</v>
      </c>
      <c r="I3" s="60"/>
      <c r="J3" s="60"/>
      <c r="K3" s="61"/>
      <c r="L3" s="107" t="s">
        <v>58</v>
      </c>
      <c r="M3" s="8"/>
      <c r="N3" s="8"/>
    </row>
    <row r="4" spans="1:14" x14ac:dyDescent="0.35">
      <c r="B4" s="69" t="s">
        <v>30</v>
      </c>
      <c r="C4" s="33"/>
      <c r="D4" s="50">
        <f>SUM(D5+D12)</f>
        <v>122371162.56999999</v>
      </c>
      <c r="E4" s="85" t="s">
        <v>31</v>
      </c>
      <c r="F4" s="33"/>
      <c r="G4" s="50">
        <f>SUM(G5+G10)</f>
        <v>122371162.57000001</v>
      </c>
      <c r="H4" s="106"/>
      <c r="I4" s="60"/>
      <c r="J4" s="60"/>
      <c r="K4" s="61"/>
      <c r="L4" s="107"/>
      <c r="M4" s="8"/>
      <c r="N4" s="8"/>
    </row>
    <row r="5" spans="1:14" x14ac:dyDescent="0.35">
      <c r="B5" s="70" t="s">
        <v>32</v>
      </c>
      <c r="C5" s="35"/>
      <c r="D5" s="53">
        <f>SUM(D6:D11)</f>
        <v>14442336.91</v>
      </c>
      <c r="E5" s="70" t="s">
        <v>33</v>
      </c>
      <c r="F5" s="35"/>
      <c r="G5" s="36">
        <f>SUM(G6:G9)</f>
        <v>21461591.919999998</v>
      </c>
      <c r="H5" s="106"/>
      <c r="I5" s="58"/>
      <c r="J5" s="58"/>
      <c r="K5" s="62"/>
      <c r="L5" s="107"/>
      <c r="M5" s="8"/>
      <c r="N5" s="8"/>
    </row>
    <row r="6" spans="1:14" x14ac:dyDescent="0.35">
      <c r="B6" s="71"/>
      <c r="C6" s="35" t="s">
        <v>70</v>
      </c>
      <c r="D6" s="36">
        <v>2437109.31</v>
      </c>
      <c r="E6" s="89"/>
      <c r="F6" s="35" t="s">
        <v>76</v>
      </c>
      <c r="G6" s="79">
        <v>2494168.9500000002</v>
      </c>
      <c r="H6" s="106"/>
      <c r="I6" s="60"/>
      <c r="J6" s="60"/>
      <c r="K6" s="62"/>
      <c r="L6" s="107"/>
      <c r="M6" s="8"/>
      <c r="N6" s="8"/>
    </row>
    <row r="7" spans="1:14" x14ac:dyDescent="0.35">
      <c r="B7" s="71"/>
      <c r="C7" s="35" t="s">
        <v>71</v>
      </c>
      <c r="D7" s="36">
        <v>7001150.1399999997</v>
      </c>
      <c r="E7" s="92"/>
      <c r="F7" s="35" t="s">
        <v>77</v>
      </c>
      <c r="G7" s="36">
        <v>558759.63</v>
      </c>
      <c r="H7" s="106"/>
      <c r="I7" s="58"/>
      <c r="J7" s="58"/>
      <c r="K7" s="57"/>
      <c r="L7" s="107"/>
      <c r="M7" s="8"/>
      <c r="N7" s="8"/>
    </row>
    <row r="8" spans="1:14" x14ac:dyDescent="0.35">
      <c r="B8" s="71"/>
      <c r="C8" s="35" t="s">
        <v>72</v>
      </c>
      <c r="D8" s="36">
        <v>1273637.1100000001</v>
      </c>
      <c r="E8" s="71"/>
      <c r="F8" s="35" t="s">
        <v>56</v>
      </c>
      <c r="G8" s="36">
        <v>17920181.5</v>
      </c>
      <c r="H8" s="106"/>
      <c r="I8" s="58"/>
      <c r="J8" s="58"/>
      <c r="K8" s="62"/>
      <c r="L8" s="107"/>
    </row>
    <row r="9" spans="1:14" x14ac:dyDescent="0.35">
      <c r="B9" s="71"/>
      <c r="C9" s="35" t="s">
        <v>73</v>
      </c>
      <c r="D9" s="36">
        <v>3718389.14</v>
      </c>
      <c r="E9" s="89"/>
      <c r="F9" s="35" t="s">
        <v>78</v>
      </c>
      <c r="G9" s="36">
        <v>488481.84</v>
      </c>
      <c r="H9" s="106"/>
      <c r="I9" s="58"/>
      <c r="J9" s="58"/>
      <c r="K9" s="62"/>
      <c r="L9" s="107"/>
    </row>
    <row r="10" spans="1:14" x14ac:dyDescent="0.35">
      <c r="B10" s="91" t="s">
        <v>69</v>
      </c>
      <c r="C10" s="35" t="s">
        <v>44</v>
      </c>
      <c r="D10" s="36">
        <v>1006.72</v>
      </c>
      <c r="E10" s="73" t="s">
        <v>41</v>
      </c>
      <c r="F10" s="40"/>
      <c r="G10" s="74">
        <f>SUM(G11:G12)</f>
        <v>100909570.65000001</v>
      </c>
      <c r="H10" s="106"/>
      <c r="I10" s="58"/>
      <c r="J10" s="58"/>
      <c r="K10" s="62"/>
      <c r="L10" s="107"/>
    </row>
    <row r="11" spans="1:14" x14ac:dyDescent="0.35">
      <c r="A11" s="54"/>
      <c r="B11" s="90"/>
      <c r="C11" s="40" t="s">
        <v>74</v>
      </c>
      <c r="D11" s="41">
        <v>11044.49</v>
      </c>
      <c r="E11" s="81"/>
      <c r="F11" s="40" t="s">
        <v>49</v>
      </c>
      <c r="G11" s="41">
        <v>86545880</v>
      </c>
      <c r="H11" s="106"/>
      <c r="I11" s="58"/>
      <c r="J11" s="58"/>
      <c r="K11" s="62"/>
      <c r="L11" s="107"/>
    </row>
    <row r="12" spans="1:14" x14ac:dyDescent="0.35">
      <c r="A12" s="54"/>
      <c r="B12" s="73" t="s">
        <v>75</v>
      </c>
      <c r="C12" s="40"/>
      <c r="D12" s="84">
        <f>SUM(D13:D14)</f>
        <v>107928825.66</v>
      </c>
      <c r="E12" s="93"/>
      <c r="F12" s="40" t="s">
        <v>79</v>
      </c>
      <c r="G12" s="55">
        <v>14363690.65</v>
      </c>
      <c r="H12" s="106"/>
    </row>
    <row r="13" spans="1:14" x14ac:dyDescent="0.35">
      <c r="A13" s="54"/>
      <c r="B13" s="39"/>
      <c r="C13" s="40" t="s">
        <v>40</v>
      </c>
      <c r="D13" s="55">
        <v>46794804.109999999</v>
      </c>
      <c r="E13" s="40"/>
      <c r="F13" s="40"/>
      <c r="G13" s="94"/>
      <c r="H13" s="106"/>
    </row>
    <row r="14" spans="1:14" x14ac:dyDescent="0.35">
      <c r="A14" s="54"/>
      <c r="B14" s="48"/>
      <c r="C14" s="48" t="s">
        <v>45</v>
      </c>
      <c r="D14" s="51">
        <v>61134021.549999997</v>
      </c>
      <c r="E14" s="47"/>
      <c r="F14" s="48"/>
      <c r="G14" s="95"/>
      <c r="H14" s="106"/>
    </row>
    <row r="15" spans="1:14" x14ac:dyDescent="0.35">
      <c r="A15" s="54"/>
    </row>
    <row r="16" spans="1:14" x14ac:dyDescent="0.35">
      <c r="A16" s="54"/>
    </row>
  </sheetData>
  <mergeCells count="2">
    <mergeCell ref="L3:L11"/>
    <mergeCell ref="H3:H14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9836-E50A-4D5E-829E-4C30D3EC4820}">
  <dimension ref="A1:N14"/>
  <sheetViews>
    <sheetView showGridLines="0" zoomScale="145" zoomScaleNormal="145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21.81640625" style="3" bestFit="1" customWidth="1"/>
    <col min="3" max="3" width="24.08984375" style="3" bestFit="1" customWidth="1"/>
    <col min="4" max="4" width="17" style="2" bestFit="1" customWidth="1"/>
    <col min="5" max="5" width="16.453125" style="3" bestFit="1" customWidth="1"/>
    <col min="6" max="6" width="27.36328125" style="3" bestFit="1" customWidth="1"/>
    <col min="7" max="7" width="17" style="3" bestFit="1" customWidth="1"/>
    <col min="8" max="8" width="20.6328125" style="3" bestFit="1" customWidth="1"/>
    <col min="9" max="9" width="46.81640625" style="3" bestFit="1" customWidth="1"/>
    <col min="10" max="10" width="17.36328125" style="3" bestFit="1" customWidth="1"/>
    <col min="11" max="11" width="34.08984375" style="3" customWidth="1"/>
    <col min="12" max="12" width="64.36328125" style="3" bestFit="1" customWidth="1"/>
    <col min="13" max="14" width="26" style="3" customWidth="1"/>
    <col min="15" max="16384" width="9.08984375" style="3"/>
  </cols>
  <sheetData>
    <row r="1" spans="1:14" x14ac:dyDescent="0.35">
      <c r="I1" s="58"/>
      <c r="J1" s="58"/>
      <c r="K1" s="58"/>
    </row>
    <row r="2" spans="1:14" x14ac:dyDescent="0.35">
      <c r="C2" s="1"/>
      <c r="D2" s="4"/>
      <c r="E2" s="5"/>
      <c r="F2" s="5"/>
      <c r="G2" s="5"/>
      <c r="H2" s="5"/>
      <c r="I2" s="59"/>
      <c r="J2" s="59"/>
      <c r="K2" s="7"/>
      <c r="L2" s="7"/>
      <c r="M2" s="7"/>
      <c r="N2" s="7"/>
    </row>
    <row r="3" spans="1:14" x14ac:dyDescent="0.35">
      <c r="B3" s="96" t="s">
        <v>94</v>
      </c>
      <c r="C3" s="97" t="s">
        <v>60</v>
      </c>
      <c r="D3" s="100"/>
      <c r="E3" s="97" t="s">
        <v>93</v>
      </c>
      <c r="F3" s="101"/>
      <c r="G3" s="99">
        <v>45627</v>
      </c>
      <c r="H3" s="5"/>
      <c r="I3" s="60"/>
      <c r="J3" s="60"/>
      <c r="K3" s="61"/>
      <c r="L3" s="107" t="s">
        <v>58</v>
      </c>
      <c r="M3" s="8"/>
      <c r="N3" s="8"/>
    </row>
    <row r="4" spans="1:14" x14ac:dyDescent="0.35">
      <c r="B4" s="69" t="s">
        <v>30</v>
      </c>
      <c r="C4" s="33"/>
      <c r="D4" s="50">
        <f>SUM(D5+D9)</f>
        <v>109379942.83999999</v>
      </c>
      <c r="E4" s="76" t="s">
        <v>31</v>
      </c>
      <c r="F4" s="77"/>
      <c r="G4" s="78">
        <f>SUM(G5+G9)</f>
        <v>109379942.83999999</v>
      </c>
      <c r="H4" s="105" t="s">
        <v>92</v>
      </c>
      <c r="I4" s="60"/>
      <c r="J4" s="60"/>
      <c r="K4" s="61"/>
      <c r="L4" s="107"/>
      <c r="M4" s="8"/>
      <c r="N4" s="8"/>
    </row>
    <row r="5" spans="1:14" x14ac:dyDescent="0.35">
      <c r="B5" s="70" t="s">
        <v>32</v>
      </c>
      <c r="C5" s="35"/>
      <c r="D5" s="53">
        <f>SUM(D6:D8)</f>
        <v>820384.91</v>
      </c>
      <c r="E5" s="70" t="s">
        <v>33</v>
      </c>
      <c r="F5" s="35"/>
      <c r="G5" s="36">
        <f>SUM(G6:G8)</f>
        <v>919578.08000000007</v>
      </c>
      <c r="H5" s="105"/>
      <c r="I5" s="58"/>
      <c r="J5" s="58"/>
      <c r="K5" s="62"/>
      <c r="L5" s="107"/>
      <c r="M5" s="8"/>
      <c r="N5" s="8"/>
    </row>
    <row r="6" spans="1:14" x14ac:dyDescent="0.35">
      <c r="B6" s="34"/>
      <c r="C6" s="35" t="s">
        <v>81</v>
      </c>
      <c r="D6" s="36">
        <v>7</v>
      </c>
      <c r="E6" s="35"/>
      <c r="F6" s="35" t="s">
        <v>86</v>
      </c>
      <c r="G6" s="79">
        <v>6731.94</v>
      </c>
      <c r="H6" s="105"/>
      <c r="I6" s="60"/>
      <c r="J6" s="60"/>
      <c r="K6" s="62"/>
      <c r="L6" s="107"/>
      <c r="M6" s="8"/>
      <c r="N6" s="8"/>
    </row>
    <row r="7" spans="1:14" x14ac:dyDescent="0.35">
      <c r="B7" s="34"/>
      <c r="C7" s="35" t="s">
        <v>82</v>
      </c>
      <c r="D7" s="36">
        <v>501276.83</v>
      </c>
      <c r="E7" s="63"/>
      <c r="F7" s="35" t="s">
        <v>87</v>
      </c>
      <c r="G7" s="36">
        <v>360471.48</v>
      </c>
      <c r="H7" s="105"/>
      <c r="I7" s="58"/>
      <c r="J7" s="58"/>
      <c r="K7" s="57"/>
      <c r="L7" s="107"/>
      <c r="M7" s="8"/>
      <c r="N7" s="8"/>
    </row>
    <row r="8" spans="1:14" x14ac:dyDescent="0.35">
      <c r="B8" s="34"/>
      <c r="C8" s="35" t="s">
        <v>84</v>
      </c>
      <c r="D8" s="36">
        <v>319101.08</v>
      </c>
      <c r="E8" s="72"/>
      <c r="F8" s="35" t="s">
        <v>88</v>
      </c>
      <c r="G8" s="52">
        <v>552374.66</v>
      </c>
      <c r="H8" s="105"/>
      <c r="I8" s="58"/>
      <c r="J8" s="58"/>
      <c r="K8" s="62"/>
      <c r="L8" s="107"/>
    </row>
    <row r="9" spans="1:14" x14ac:dyDescent="0.35">
      <c r="B9" s="73" t="s">
        <v>75</v>
      </c>
      <c r="C9" s="40"/>
      <c r="D9" s="74">
        <f>SUM(D10:D12)</f>
        <v>108559557.92999999</v>
      </c>
      <c r="E9" s="73" t="s">
        <v>41</v>
      </c>
      <c r="F9" s="40"/>
      <c r="G9" s="80">
        <f>SUM(G10:G14)</f>
        <v>108460364.75999999</v>
      </c>
      <c r="H9" s="105"/>
      <c r="I9" s="58"/>
      <c r="J9" s="58"/>
      <c r="K9" s="62"/>
      <c r="L9" s="107"/>
    </row>
    <row r="10" spans="1:14" x14ac:dyDescent="0.35">
      <c r="B10" s="75" t="s">
        <v>69</v>
      </c>
      <c r="C10" s="40" t="s">
        <v>83</v>
      </c>
      <c r="D10" s="41">
        <v>64315927.329999998</v>
      </c>
      <c r="E10" s="39"/>
      <c r="F10" s="40" t="s">
        <v>49</v>
      </c>
      <c r="G10" s="41">
        <v>79875997.739999995</v>
      </c>
      <c r="H10" s="105"/>
      <c r="I10" s="58"/>
      <c r="J10" s="58"/>
      <c r="K10" s="62"/>
      <c r="L10" s="107"/>
    </row>
    <row r="11" spans="1:14" x14ac:dyDescent="0.35">
      <c r="A11" s="54"/>
      <c r="B11" s="39"/>
      <c r="C11" s="40" t="s">
        <v>85</v>
      </c>
      <c r="D11" s="41">
        <v>21372769.940000001</v>
      </c>
      <c r="E11" s="39"/>
      <c r="F11" s="40" t="s">
        <v>67</v>
      </c>
      <c r="G11" s="41">
        <v>-2603500</v>
      </c>
      <c r="H11" s="105"/>
      <c r="I11" s="58"/>
      <c r="J11" s="58"/>
      <c r="K11" s="62"/>
      <c r="L11" s="107"/>
    </row>
    <row r="12" spans="1:14" x14ac:dyDescent="0.35">
      <c r="B12" s="40"/>
      <c r="C12" s="40" t="s">
        <v>45</v>
      </c>
      <c r="D12" s="83">
        <v>22870860.66</v>
      </c>
      <c r="E12" s="39"/>
      <c r="F12" s="40" t="s">
        <v>89</v>
      </c>
      <c r="G12" s="19">
        <v>1800035.86</v>
      </c>
      <c r="H12" s="105"/>
    </row>
    <row r="13" spans="1:14" x14ac:dyDescent="0.35">
      <c r="A13" s="54"/>
      <c r="B13" s="40"/>
      <c r="C13" s="40"/>
      <c r="D13" s="55"/>
      <c r="E13" s="40"/>
      <c r="F13" s="40" t="s">
        <v>90</v>
      </c>
      <c r="G13" s="19">
        <v>7330593.3200000003</v>
      </c>
      <c r="H13" s="105"/>
    </row>
    <row r="14" spans="1:14" x14ac:dyDescent="0.35">
      <c r="B14" s="47"/>
      <c r="C14" s="48"/>
      <c r="D14" s="51"/>
      <c r="E14" s="48"/>
      <c r="F14" s="48" t="s">
        <v>91</v>
      </c>
      <c r="G14" s="51">
        <v>22057237.84</v>
      </c>
      <c r="H14" s="105"/>
    </row>
  </sheetData>
  <mergeCells count="2">
    <mergeCell ref="L3:L11"/>
    <mergeCell ref="H4:H14"/>
  </mergeCells>
  <phoneticPr fontId="10" type="noConversion"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ea803e51-b7dd-4b01-9f98-6ad769db2115}" enabled="0" method="" siteId="{ea803e51-b7dd-4b01-9f98-6ad769db21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Organograma</vt:lpstr>
      <vt:lpstr>Cálculos da Operação</vt:lpstr>
      <vt:lpstr>Segregação de Risco</vt:lpstr>
      <vt:lpstr>Dourada C. e A. SA</vt:lpstr>
      <vt:lpstr>Embracon Franchising</vt:lpstr>
      <vt:lpstr>Embrafisa Consul.</vt:lpstr>
      <vt:lpstr>GSJ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Reinaldo Passaro | Stocche Forbes Advogados</dc:creator>
  <cp:lastModifiedBy>Caue Costa Silva | Stocche Forbes Advogados</cp:lastModifiedBy>
  <dcterms:created xsi:type="dcterms:W3CDTF">2025-02-03T12:46:49Z</dcterms:created>
  <dcterms:modified xsi:type="dcterms:W3CDTF">2026-09-04T08:00:50Z</dcterms:modified>
</cp:coreProperties>
</file>