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30 06 26com dividendos" sheetId="1" state="visible" r:id="rId3"/>
    <sheet name="base 30 06 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9" authorId="0">
      <text>
        <r>
          <rPr>
            <sz val="10"/>
            <rFont val="Arial"/>
            <family val="2"/>
          </rPr>
          <t xml:space="preserve">jose.molina:
adicianado : 380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9" authorId="0">
      <text>
        <r>
          <rPr>
            <sz val="10"/>
            <rFont val="Arial"/>
            <family val="2"/>
          </rPr>
          <t xml:space="preserve">jose.molina:
adicianado : 380
</t>
        </r>
      </text>
    </comment>
  </commentList>
</comments>
</file>

<file path=xl/sharedStrings.xml><?xml version="1.0" encoding="utf-8"?>
<sst xmlns="http://schemas.openxmlformats.org/spreadsheetml/2006/main" count="478" uniqueCount="122">
  <si>
    <t xml:space="preserve">Exercício Incorporação</t>
  </si>
  <si>
    <t xml:space="preserve">CNP</t>
  </si>
  <si>
    <t xml:space="preserve">Base 30 06 26</t>
  </si>
  <si>
    <t xml:space="preserve">SITUAÇÃO ANTES</t>
  </si>
  <si>
    <t xml:space="preserve">SAVIAN</t>
  </si>
  <si>
    <t xml:space="preserve">JVFJ</t>
  </si>
  <si>
    <t xml:space="preserve">EMBRACON</t>
  </si>
  <si>
    <t xml:space="preserve">ATIVOS</t>
  </si>
  <si>
    <t xml:space="preserve">Sub total</t>
  </si>
  <si>
    <t xml:space="preserve">Circulante</t>
  </si>
  <si>
    <t xml:space="preserve">Circulante + LP</t>
  </si>
  <si>
    <t xml:space="preserve">Outros</t>
  </si>
  <si>
    <t xml:space="preserve">CPC 47</t>
  </si>
  <si>
    <t xml:space="preserve">Permanente</t>
  </si>
  <si>
    <t xml:space="preserve">Inv. Embracon</t>
  </si>
  <si>
    <t xml:space="preserve">Compensação</t>
  </si>
  <si>
    <t xml:space="preserve">PASSIVOS + P.LÍQUIDO</t>
  </si>
  <si>
    <t xml:space="preserve">PASSIVOS</t>
  </si>
  <si>
    <t xml:space="preserve">dividendos</t>
  </si>
  <si>
    <t xml:space="preserve">P. LÍQUIDO</t>
  </si>
  <si>
    <t xml:space="preserve">Capital</t>
  </si>
  <si>
    <t xml:space="preserve">Reservas</t>
  </si>
  <si>
    <t xml:space="preserve">Incorporação</t>
  </si>
  <si>
    <t xml:space="preserve">Proporciionalidade P.Líquidos "nominais"</t>
  </si>
  <si>
    <t xml:space="preserve">Embracon</t>
  </si>
  <si>
    <t xml:space="preserve">Total</t>
  </si>
  <si>
    <t xml:space="preserve">SITUAÇÃO APÓS INCORPORAÇAO</t>
  </si>
  <si>
    <t xml:space="preserve">Incorporaçao base</t>
  </si>
  <si>
    <t xml:space="preserve">Diluição</t>
  </si>
  <si>
    <t xml:space="preserve">Net</t>
  </si>
  <si>
    <t xml:space="preserve">Incorporação base</t>
  </si>
  <si>
    <t xml:space="preserve">Somatória</t>
  </si>
  <si>
    <t xml:space="preserve">Parcela Incorporada</t>
  </si>
  <si>
    <t xml:space="preserve">Inv. Anterior</t>
  </si>
  <si>
    <t xml:space="preserve">P.Incorp</t>
  </si>
  <si>
    <t xml:space="preserve">base para incorp</t>
  </si>
  <si>
    <t xml:space="preserve">P. Atualizada</t>
  </si>
  <si>
    <t xml:space="preserve">S + J</t>
  </si>
  <si>
    <t xml:space="preserve">SENDO:</t>
  </si>
  <si>
    <t xml:space="preserve"> base</t>
  </si>
  <si>
    <t xml:space="preserve">diluição</t>
  </si>
  <si>
    <t xml:space="preserve">diluiçao individual</t>
  </si>
  <si>
    <t xml:space="preserve">MLA - SEGREGAÇÃO RISCO CUSTO DO INVESTIMENTO</t>
  </si>
  <si>
    <t xml:space="preserve">VENDA PJ</t>
  </si>
  <si>
    <t xml:space="preserve">VENDA PF</t>
  </si>
  <si>
    <t xml:space="preserve">TOTAL</t>
  </si>
  <si>
    <t xml:space="preserve">ANTES</t>
  </si>
  <si>
    <t xml:space="preserve">DEPOIS</t>
  </si>
  <si>
    <t xml:space="preserve">Δ</t>
  </si>
  <si>
    <t xml:space="preserve">Preço</t>
  </si>
  <si>
    <t xml:space="preserve">CPC 15</t>
  </si>
  <si>
    <t xml:space="preserve">CPC 19</t>
  </si>
  <si>
    <t xml:space="preserve">P.Líquido Já incorporado</t>
  </si>
  <si>
    <t xml:space="preserve">GANHO %</t>
  </si>
  <si>
    <t xml:space="preserve">Inv Embracon</t>
  </si>
  <si>
    <t xml:space="preserve">&lt;-- PERDA DILUIÇÃO</t>
  </si>
  <si>
    <t xml:space="preserve">Savian</t>
  </si>
  <si>
    <t xml:space="preserve">Invest antes</t>
  </si>
  <si>
    <t xml:space="preserve">Inv CNP (PL)</t>
  </si>
  <si>
    <t xml:space="preserve">&lt;-- REFLEXO PL</t>
  </si>
  <si>
    <t xml:space="preserve">Inv CNP (AVJ)</t>
  </si>
  <si>
    <t xml:space="preserve">&lt;-- REFLEXO AVJ</t>
  </si>
  <si>
    <t xml:space="preserve">CNP Holding</t>
  </si>
  <si>
    <t xml:space="preserve">P.Liquido CNP</t>
  </si>
  <si>
    <t xml:space="preserve">VENDA PJ - RISCO 2</t>
  </si>
  <si>
    <t xml:space="preserve">NOVO EMBRACON</t>
  </si>
  <si>
    <t xml:space="preserve">SEGREGAÇÃO DELOITTE - PROPORÇÃO</t>
  </si>
  <si>
    <t xml:space="preserve">Investimento final</t>
  </si>
  <si>
    <t xml:space="preserve">VJ PL CNP</t>
  </si>
  <si>
    <t xml:space="preserve">MV</t>
  </si>
  <si>
    <t xml:space="preserve">CONTÁBIL</t>
  </si>
  <si>
    <t xml:space="preserve">VENDA PJ - RISCO 1</t>
  </si>
  <si>
    <t xml:space="preserve">Cada um </t>
  </si>
  <si>
    <t xml:space="preserve">VJ JO</t>
  </si>
  <si>
    <t xml:space="preserve">Cash Out</t>
  </si>
  <si>
    <t xml:space="preserve">após incorp</t>
  </si>
  <si>
    <t xml:space="preserve">alienação</t>
  </si>
  <si>
    <t xml:space="preserve">posição final</t>
  </si>
  <si>
    <t xml:space="preserve">cash out</t>
  </si>
  <si>
    <t xml:space="preserve">incorp</t>
  </si>
  <si>
    <t xml:space="preserve">total</t>
  </si>
  <si>
    <t xml:space="preserve">VJ CNP</t>
  </si>
  <si>
    <t xml:space="preserve">VJ Embracon</t>
  </si>
  <si>
    <t xml:space="preserve">MLA - SEGREGAÇÃO AVJ REFLEXO HOLDINGS DA EMBRACON</t>
  </si>
  <si>
    <t xml:space="preserve">P.Socit antes</t>
  </si>
  <si>
    <t xml:space="preserve">custo</t>
  </si>
  <si>
    <t xml:space="preserve">cx</t>
  </si>
  <si>
    <t xml:space="preserve">l base</t>
  </si>
  <si>
    <t xml:space="preserve">Líquido</t>
  </si>
  <si>
    <t xml:space="preserve">Baixa</t>
  </si>
  <si>
    <t xml:space="preserve">Inv JO (contábil)</t>
  </si>
  <si>
    <t xml:space="preserve">gk</t>
  </si>
  <si>
    <t xml:space="preserve">Entra</t>
  </si>
  <si>
    <t xml:space="preserve">ir/cs gk</t>
  </si>
  <si>
    <t xml:space="preserve">AVJ JO</t>
  </si>
  <si>
    <t xml:space="preserve">Resultado</t>
  </si>
  <si>
    <t xml:space="preserve">AVJ</t>
  </si>
  <si>
    <t xml:space="preserve">IR/CS GK</t>
  </si>
  <si>
    <t xml:space="preserve">pf</t>
  </si>
  <si>
    <t xml:space="preserve">pj</t>
  </si>
  <si>
    <t xml:space="preserve">cdi</t>
  </si>
  <si>
    <t xml:space="preserve">ir</t>
  </si>
  <si>
    <t xml:space="preserve">ano</t>
  </si>
  <si>
    <t xml:space="preserve">1. P. Liquido em 31.07.26  (R$ mil)</t>
  </si>
  <si>
    <t xml:space="preserve">investimento</t>
  </si>
  <si>
    <t xml:space="preserve">Enterprise Value</t>
  </si>
  <si>
    <t xml:space="preserve">"ppA"</t>
  </si>
  <si>
    <t xml:space="preserve">2. Apuração da Carga IR  (R$ mil)</t>
  </si>
  <si>
    <t xml:space="preserve">P.Liq E</t>
  </si>
  <si>
    <t xml:space="preserve">Custo Investimento</t>
  </si>
  <si>
    <t xml:space="preserve">&lt;--------------</t>
  </si>
  <si>
    <t xml:space="preserve">ganho</t>
  </si>
  <si>
    <t xml:space="preserve">IR</t>
  </si>
  <si>
    <t xml:space="preserve">pgto agora</t>
  </si>
  <si>
    <t xml:space="preserve">Custo alocado = 26,2% (E88) × P.Líq Embracon 31.07.26 — critério do draft (custo × p.p. vendidos). Blocos em R$ mil; demais seções da aba em R$ milhões (base 30.06.26).</t>
  </si>
  <si>
    <t xml:space="preserve">Qd pagar!!!</t>
  </si>
  <si>
    <t xml:space="preserve">desagio</t>
  </si>
  <si>
    <t xml:space="preserve">Composição das Empresas</t>
  </si>
  <si>
    <t xml:space="preserve">SITUAÇÃO APÓS</t>
  </si>
  <si>
    <t xml:space="preserve">divendos</t>
  </si>
  <si>
    <t xml:space="preserve">efeito</t>
  </si>
  <si>
    <t xml:space="preserve">?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</si>
</sst>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0_-;\-* #,##0.000_-;_-* \-??_-;_-@_-"/>
    <numFmt numFmtId="166" formatCode="_-* #,##0_-;\-* #,##0_-;_-* \-??_-;_-@_-"/>
    <numFmt numFmtId="167" formatCode="0%"/>
    <numFmt numFmtId="168" formatCode="0.00%"/>
    <numFmt numFmtId="169" formatCode="General"/>
    <numFmt numFmtId="170" formatCode="_-* #,##0.00_-;\-* #,##0.00_-;_-* \-??_-;_-@_-"/>
    <numFmt numFmtId="171" formatCode="_-* #,##0_-;\-* #,##0_-;_-* \-?_-;_-@_-"/>
    <numFmt numFmtId="172" formatCode="_-* #,##0.0000_-;\-* #,##0.0000_-;_-* \-??_-;_-@_-"/>
    <numFmt numFmtId="173" formatCode="0.0%"/>
    <numFmt numFmtId="174" formatCode="#,##0;\(#,##0\)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i val="true"/>
      <sz val="8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sz val="11"/>
      <color theme="1" tint="0.3499"/>
      <name val="Aptos Narrow"/>
      <family val="2"/>
      <charset val="1"/>
    </font>
    <font>
      <sz val="9"/>
      <color theme="1" tint="0.3499"/>
      <name val="Aptos Narrow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i val="true"/>
      <sz val="11"/>
      <name val="Calibri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theme="6" tint="0.3999"/>
        <bgColor rgb="FF339966"/>
      </patternFill>
    </fill>
    <fill>
      <patternFill patternType="solid">
        <fgColor theme="2" tint="-0.25"/>
        <bgColor rgb="FF969696"/>
      </patternFill>
    </fill>
    <fill>
      <patternFill patternType="solid">
        <fgColor theme="3" tint="0.7499"/>
        <bgColor rgb="FFCCCCFF"/>
      </patternFill>
    </fill>
    <fill>
      <patternFill patternType="solid">
        <fgColor theme="9" tint="0.7999"/>
        <bgColor rgb="FFDCEAF7"/>
      </patternFill>
    </fill>
    <fill>
      <patternFill patternType="solid">
        <fgColor theme="1"/>
        <bgColor rgb="FF003300"/>
      </patternFill>
    </fill>
  </fills>
  <borders count="3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FF0000"/>
      </left>
      <right/>
      <top style="medium">
        <color rgb="FFFF0000"/>
      </top>
      <bottom/>
      <diagonal/>
    </border>
    <border diagonalUp="false" diagonalDown="false">
      <left/>
      <right/>
      <top style="medium">
        <color rgb="FFFF0000"/>
      </top>
      <bottom style="thin"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 style="medium">
        <color rgb="FFFF0000"/>
      </right>
      <top style="medium">
        <color rgb="FFFF0000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rgb="FFFF0000"/>
      </left>
      <right/>
      <top/>
      <bottom/>
      <diagonal/>
    </border>
    <border diagonalUp="false" diagonalDown="false">
      <left/>
      <right style="medium">
        <color rgb="FFFF0000"/>
      </right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0000"/>
      </left>
      <right/>
      <top/>
      <bottom style="medium">
        <color rgb="FFFF0000"/>
      </bottom>
      <diagonal/>
    </border>
    <border diagonalUp="false" diagonalDown="false">
      <left/>
      <right/>
      <top style="thin"/>
      <bottom style="medium">
        <color rgb="FFFF0000"/>
      </bottom>
      <diagonal/>
    </border>
    <border diagonalUp="false" diagonalDown="false">
      <left/>
      <right/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3" borderId="2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3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3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3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5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5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A6CAEC"/>
      <rgbColor rgb="FFFF99CC"/>
      <rgbColor rgb="FFCC99FF"/>
      <rgbColor rgb="FFFFCC99"/>
      <rgbColor rgb="FF3366FF"/>
      <rgbColor rgb="FF47D45A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71"/>
  <sheetViews>
    <sheetView showFormulas="false" showGridLines="false" showRowColHeaders="true" showZeros="true" rightToLeft="false" tabSelected="true" showOutlineSymbols="true" defaultGridColor="true" view="normal" topLeftCell="L79" colorId="64" zoomScale="79" zoomScaleNormal="79" zoomScalePageLayoutView="100" workbookViewId="0">
      <selection pane="topLeft" activeCell="T90" activeCellId="0" sqref="T90"/>
    </sheetView>
  </sheetViews>
  <sheetFormatPr defaultColWidth="8.5390625" defaultRowHeight="15" zeroHeight="false" outlineLevelRow="0" outlineLevelCol="0"/>
  <cols>
    <col collapsed="false" customWidth="true" hidden="false" outlineLevel="0" max="3" min="3" style="1" width="2.57"/>
    <col collapsed="false" customWidth="true" hidden="false" outlineLevel="0" max="4" min="4" style="1" width="22.71"/>
    <col collapsed="false" customWidth="true" hidden="false" outlineLevel="0" max="5" min="5" style="1" width="13.86"/>
    <col collapsed="false" customWidth="true" hidden="false" outlineLevel="0" max="7" min="7" style="1" width="25.86"/>
    <col collapsed="false" customWidth="true" hidden="false" outlineLevel="0" max="8" min="8" style="1" width="14.43"/>
    <col collapsed="false" customWidth="true" hidden="false" outlineLevel="0" max="10" min="9" style="1" width="11.29"/>
    <col collapsed="false" customWidth="true" hidden="false" outlineLevel="0" max="11" min="11" style="1" width="33.29"/>
    <col collapsed="false" customWidth="true" hidden="false" outlineLevel="0" max="12" min="12" style="1" width="12.29"/>
    <col collapsed="false" customWidth="true" hidden="false" outlineLevel="0" max="13" min="13" style="1" width="2.57"/>
    <col collapsed="false" customWidth="true" hidden="false" outlineLevel="0" max="14" min="14" style="1" width="33.29"/>
    <col collapsed="false" customWidth="true" hidden="false" outlineLevel="0" max="15" min="15" style="1" width="16"/>
    <col collapsed="false" customWidth="true" hidden="false" outlineLevel="0" max="16" min="16" style="2" width="12"/>
    <col collapsed="false" customWidth="true" hidden="false" outlineLevel="0" max="17" min="17" style="1" width="11.43"/>
    <col collapsed="false" customWidth="true" hidden="false" outlineLevel="0" max="18" min="18" style="1" width="10.57"/>
    <col collapsed="false" customWidth="true" hidden="false" outlineLevel="0" max="19" min="19" style="1" width="10.29"/>
    <col collapsed="false" customWidth="true" hidden="false" outlineLevel="0" max="23" min="23" style="1" width="15.14"/>
    <col collapsed="false" customWidth="true" hidden="false" outlineLevel="0" max="24" min="24" style="1" width="15.29"/>
    <col collapsed="false" customWidth="true" hidden="false" outlineLevel="0" max="25" min="25" style="1" width="15.86"/>
    <col collapsed="false" customWidth="true" hidden="false" outlineLevel="0" max="26" min="26" style="1" width="14"/>
    <col collapsed="false" customWidth="true" hidden="false" outlineLevel="0" max="27" min="27" style="1" width="14.29"/>
    <col collapsed="false" customWidth="true" hidden="false" outlineLevel="0" max="28" min="28" style="1" width="14.14"/>
  </cols>
  <sheetData>
    <row r="1" customFormat="false" ht="15" hidden="false" customHeight="true" outlineLevel="0" collapsed="false">
      <c r="A1" s="3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</row>
    <row r="4" customFormat="false" ht="15.75" hidden="false" customHeight="true" outlineLevel="0" collapsed="false">
      <c r="D4" s="4" t="s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8.75" hidden="false" customHeight="true" outlineLevel="0" collapsed="false">
      <c r="D5" s="5" t="s">
        <v>4</v>
      </c>
      <c r="G5" s="5" t="s">
        <v>5</v>
      </c>
      <c r="K5" s="5" t="s">
        <v>6</v>
      </c>
      <c r="N5" s="5" t="s">
        <v>1</v>
      </c>
    </row>
    <row r="7" customFormat="false" ht="15" hidden="false" customHeight="true" outlineLevel="0" collapsed="false">
      <c r="D7" s="6" t="s">
        <v>7</v>
      </c>
      <c r="E7" s="7" t="n">
        <f aca="false">E8+E13</f>
        <v>119.744</v>
      </c>
      <c r="G7" s="6" t="s">
        <v>7</v>
      </c>
      <c r="H7" s="7" t="n">
        <f aca="false">H8+H13</f>
        <v>119.744</v>
      </c>
      <c r="K7" s="6" t="s">
        <v>7</v>
      </c>
      <c r="L7" s="8" t="n">
        <f aca="false">L8+L15</f>
        <v>26138.03</v>
      </c>
      <c r="N7" s="6" t="s">
        <v>7</v>
      </c>
      <c r="O7" s="8" t="n">
        <f aca="false">O8+O15</f>
        <v>17611.435</v>
      </c>
      <c r="P7" s="9"/>
    </row>
    <row r="8" customFormat="false" ht="15" hidden="false" customHeight="true" outlineLevel="0" collapsed="false">
      <c r="D8" s="6" t="s">
        <v>8</v>
      </c>
      <c r="G8" s="6" t="s">
        <v>8</v>
      </c>
      <c r="K8" s="6" t="s">
        <v>8</v>
      </c>
      <c r="L8" s="10" t="n">
        <f aca="false">SUM(L9:L12)</f>
        <v>2323.966</v>
      </c>
      <c r="N8" s="6" t="s">
        <v>8</v>
      </c>
      <c r="O8" s="10" t="n">
        <f aca="false">SUM(O9:O12)</f>
        <v>1300.28</v>
      </c>
    </row>
    <row r="9" customFormat="false" ht="15" hidden="false" customHeight="true" outlineLevel="0" collapsed="false">
      <c r="D9" s="1" t="s">
        <v>9</v>
      </c>
      <c r="G9" s="1" t="s">
        <v>9</v>
      </c>
      <c r="K9" s="1" t="s">
        <v>10</v>
      </c>
      <c r="L9" s="11" t="n">
        <f aca="false">2265.98-1937.402</f>
        <v>328.578</v>
      </c>
      <c r="N9" s="1" t="s">
        <v>10</v>
      </c>
      <c r="O9" s="12" t="n">
        <f aca="false">17231.437-16311.155-17.517-198.838+380-138.693</f>
        <v>945.234000000001</v>
      </c>
    </row>
    <row r="10" customFormat="false" ht="15" hidden="false" customHeight="true" outlineLevel="0" collapsed="false">
      <c r="D10" s="1" t="s">
        <v>11</v>
      </c>
      <c r="G10" s="1" t="s">
        <v>11</v>
      </c>
      <c r="K10" s="1" t="s">
        <v>11</v>
      </c>
      <c r="L10" s="11"/>
      <c r="N10" s="1" t="s">
        <v>11</v>
      </c>
      <c r="O10" s="11"/>
    </row>
    <row r="11" customFormat="false" ht="15" hidden="false" customHeight="true" outlineLevel="0" collapsed="false">
      <c r="K11" s="1" t="s">
        <v>12</v>
      </c>
      <c r="L11" s="11" t="n">
        <v>1937.402</v>
      </c>
      <c r="N11" s="1" t="s">
        <v>12</v>
      </c>
      <c r="O11" s="11" t="n">
        <f aca="false">17.517+198.836</f>
        <v>216.353</v>
      </c>
    </row>
    <row r="12" customFormat="false" ht="15" hidden="false" customHeight="true" outlineLevel="0" collapsed="false">
      <c r="D12" s="1" t="s">
        <v>13</v>
      </c>
      <c r="G12" s="1" t="s">
        <v>13</v>
      </c>
      <c r="K12" s="1" t="s">
        <v>13</v>
      </c>
      <c r="L12" s="11" t="n">
        <v>57.986</v>
      </c>
      <c r="N12" s="1" t="s">
        <v>13</v>
      </c>
      <c r="O12" s="11" t="n">
        <v>138.693</v>
      </c>
    </row>
    <row r="13" customFormat="false" ht="15" hidden="false" customHeight="true" outlineLevel="0" collapsed="false">
      <c r="D13" s="6" t="s">
        <v>8</v>
      </c>
      <c r="E13" s="10" t="n">
        <f aca="false">SUM(E14)</f>
        <v>119.744</v>
      </c>
      <c r="G13" s="6" t="s">
        <v>8</v>
      </c>
      <c r="H13" s="10" t="n">
        <f aca="false">SUM(H14)</f>
        <v>119.744</v>
      </c>
      <c r="K13" s="6"/>
      <c r="L13" s="11"/>
      <c r="N13" s="6"/>
      <c r="O13" s="11"/>
    </row>
    <row r="14" customFormat="false" ht="15" hidden="false" customHeight="true" outlineLevel="0" collapsed="false">
      <c r="D14" s="1" t="s">
        <v>14</v>
      </c>
      <c r="E14" s="13" t="n">
        <f aca="false">L27/2</f>
        <v>119.744</v>
      </c>
      <c r="G14" s="1" t="s">
        <v>14</v>
      </c>
      <c r="H14" s="13" t="n">
        <f aca="false">L27/2</f>
        <v>119.744</v>
      </c>
      <c r="L14" s="11"/>
      <c r="O14" s="11"/>
    </row>
    <row r="15" customFormat="false" ht="15" hidden="false" customHeight="true" outlineLevel="0" collapsed="false">
      <c r="D15" s="6"/>
      <c r="G15" s="6"/>
      <c r="K15" s="6" t="s">
        <v>15</v>
      </c>
      <c r="L15" s="10" t="n">
        <v>23814.064</v>
      </c>
      <c r="N15" s="6" t="s">
        <v>15</v>
      </c>
      <c r="O15" s="10" t="n">
        <v>16311.155</v>
      </c>
    </row>
    <row r="16" customFormat="false" ht="15" hidden="false" customHeight="true" outlineLevel="0" collapsed="false">
      <c r="L16" s="11"/>
      <c r="O16" s="11"/>
    </row>
    <row r="17" customFormat="false" ht="15" hidden="false" customHeight="true" outlineLevel="0" collapsed="false">
      <c r="L17" s="11"/>
      <c r="O17" s="11"/>
    </row>
    <row r="18" customFormat="false" ht="15" hidden="false" customHeight="true" outlineLevel="0" collapsed="false">
      <c r="D18" s="6" t="s">
        <v>16</v>
      </c>
      <c r="E18" s="3" t="n">
        <f aca="false">E19+E27</f>
        <v>119.744</v>
      </c>
      <c r="G18" s="6" t="s">
        <v>16</v>
      </c>
      <c r="H18" s="3" t="n">
        <f aca="false">H19+H27</f>
        <v>119.744</v>
      </c>
      <c r="K18" s="6" t="s">
        <v>16</v>
      </c>
      <c r="L18" s="8" t="n">
        <f aca="false">L19+L27</f>
        <v>26138.37</v>
      </c>
      <c r="N18" s="6" t="s">
        <v>16</v>
      </c>
      <c r="O18" s="8" t="n">
        <f aca="false">O19+O27</f>
        <v>17610.591</v>
      </c>
      <c r="P18" s="9"/>
    </row>
    <row r="19" customFormat="false" ht="15" hidden="false" customHeight="true" outlineLevel="0" collapsed="false">
      <c r="D19" s="6" t="s">
        <v>17</v>
      </c>
      <c r="E19" s="3" t="n">
        <f aca="false">E20</f>
        <v>0</v>
      </c>
      <c r="G19" s="6" t="s">
        <v>17</v>
      </c>
      <c r="H19" s="1" t="n">
        <f aca="false">H20</f>
        <v>0</v>
      </c>
      <c r="K19" s="6" t="s">
        <v>17</v>
      </c>
      <c r="L19" s="10" t="n">
        <f aca="false">L20+L24</f>
        <v>25898.882</v>
      </c>
      <c r="N19" s="6" t="s">
        <v>17</v>
      </c>
      <c r="O19" s="10" t="n">
        <f aca="false">O20+O24</f>
        <v>16771.856</v>
      </c>
    </row>
    <row r="20" customFormat="false" ht="15" hidden="false" customHeight="true" outlineLevel="0" collapsed="false">
      <c r="D20" s="6" t="s">
        <v>8</v>
      </c>
      <c r="E20" s="1" t="n">
        <f aca="false">SUM(E21:E22)</f>
        <v>0</v>
      </c>
      <c r="G20" s="6" t="s">
        <v>8</v>
      </c>
      <c r="H20" s="1" t="n">
        <f aca="false">H21</f>
        <v>0</v>
      </c>
      <c r="K20" s="6" t="s">
        <v>8</v>
      </c>
      <c r="L20" s="10" t="n">
        <f aca="false">SUM(L21:L23)</f>
        <v>2084.818</v>
      </c>
      <c r="N20" s="6" t="s">
        <v>8</v>
      </c>
      <c r="O20" s="10" t="n">
        <f aca="false">SUM(O21:O22)</f>
        <v>460.701000000002</v>
      </c>
    </row>
    <row r="21" customFormat="false" ht="15" hidden="false" customHeight="true" outlineLevel="0" collapsed="false">
      <c r="D21" s="1" t="s">
        <v>9</v>
      </c>
      <c r="G21" s="1" t="s">
        <v>9</v>
      </c>
      <c r="K21" s="1" t="s">
        <v>9</v>
      </c>
      <c r="L21" s="11" t="n">
        <f aca="false">1964.818-1544.758</f>
        <v>420.06</v>
      </c>
      <c r="N21" s="1" t="s">
        <v>9</v>
      </c>
      <c r="O21" s="11" t="n">
        <f aca="false">17231.437-16311-227.944-458.736-1</f>
        <v>232.757000000002</v>
      </c>
    </row>
    <row r="22" customFormat="false" ht="15" hidden="false" customHeight="true" outlineLevel="0" collapsed="false">
      <c r="K22" s="1" t="s">
        <v>12</v>
      </c>
      <c r="L22" s="11" t="n">
        <v>1544.758</v>
      </c>
      <c r="N22" s="1" t="s">
        <v>12</v>
      </c>
      <c r="O22" s="11" t="n">
        <v>227.944</v>
      </c>
    </row>
    <row r="23" customFormat="false" ht="15" hidden="false" customHeight="true" outlineLevel="0" collapsed="false">
      <c r="K23" s="1" t="s">
        <v>18</v>
      </c>
      <c r="L23" s="11" t="n">
        <v>120</v>
      </c>
      <c r="O23" s="11"/>
    </row>
    <row r="24" customFormat="false" ht="15" hidden="false" customHeight="true" outlineLevel="0" collapsed="false">
      <c r="D24" s="6"/>
      <c r="G24" s="6"/>
      <c r="K24" s="6" t="s">
        <v>15</v>
      </c>
      <c r="L24" s="10" t="n">
        <f aca="false">L15</f>
        <v>23814.064</v>
      </c>
      <c r="N24" s="6" t="s">
        <v>15</v>
      </c>
      <c r="O24" s="10" t="n">
        <f aca="false">O15</f>
        <v>16311.155</v>
      </c>
      <c r="Q24" s="14"/>
    </row>
    <row r="25" customFormat="false" ht="15" hidden="false" customHeight="true" outlineLevel="0" collapsed="false">
      <c r="L25" s="11"/>
      <c r="O25" s="11"/>
      <c r="P25" s="15"/>
      <c r="Q25" s="16"/>
    </row>
    <row r="26" customFormat="false" ht="15" hidden="false" customHeight="true" outlineLevel="0" collapsed="false">
      <c r="K26" s="17" t="n">
        <f aca="false">H71</f>
        <v>0.138</v>
      </c>
      <c r="L26" s="11" t="n">
        <f aca="false">L27*K26</f>
        <v>33.049344</v>
      </c>
      <c r="O26" s="11" t="n">
        <f aca="false">O27-L26</f>
        <v>805.685656</v>
      </c>
      <c r="P26" s="9"/>
      <c r="Q26" s="11"/>
    </row>
    <row r="27" customFormat="false" ht="15" hidden="false" customHeight="true" outlineLevel="0" collapsed="false">
      <c r="D27" s="6" t="s">
        <v>19</v>
      </c>
      <c r="E27" s="18" t="n">
        <f aca="false">SUM(E28:E30)</f>
        <v>119.744</v>
      </c>
      <c r="G27" s="6" t="s">
        <v>19</v>
      </c>
      <c r="H27" s="19" t="n">
        <f aca="false">SUM(H28:H30)</f>
        <v>119.744</v>
      </c>
      <c r="K27" s="6" t="s">
        <v>19</v>
      </c>
      <c r="L27" s="18" t="n">
        <f aca="false">SUM(L28:L31)</f>
        <v>239.488</v>
      </c>
      <c r="N27" s="6" t="s">
        <v>19</v>
      </c>
      <c r="O27" s="20" t="n">
        <f aca="false">SUM(O28:O29)</f>
        <v>838.735</v>
      </c>
    </row>
    <row r="28" customFormat="false" ht="15" hidden="false" customHeight="true" outlineLevel="0" collapsed="false">
      <c r="D28" s="1" t="s">
        <v>20</v>
      </c>
      <c r="E28" s="11" t="n">
        <f aca="false">E14</f>
        <v>119.744</v>
      </c>
      <c r="G28" s="1" t="s">
        <v>20</v>
      </c>
      <c r="H28" s="11" t="n">
        <f aca="false">H14</f>
        <v>119.744</v>
      </c>
      <c r="K28" s="1" t="s">
        <v>20</v>
      </c>
      <c r="L28" s="11" t="n">
        <v>85</v>
      </c>
      <c r="N28" s="1" t="s">
        <v>20</v>
      </c>
      <c r="O28" s="11" t="n">
        <f aca="false">139+380</f>
        <v>519</v>
      </c>
    </row>
    <row r="29" customFormat="false" ht="15" hidden="false" customHeight="true" outlineLevel="0" collapsed="false">
      <c r="D29" s="1" t="s">
        <v>21</v>
      </c>
      <c r="G29" s="1" t="s">
        <v>21</v>
      </c>
      <c r="K29" s="1" t="s">
        <v>21</v>
      </c>
      <c r="L29" s="11" t="n">
        <f aca="false">268.488+6</f>
        <v>274.488</v>
      </c>
      <c r="N29" s="1" t="s">
        <v>21</v>
      </c>
      <c r="O29" s="11" t="n">
        <f aca="false">251.958+67.777</f>
        <v>319.735</v>
      </c>
    </row>
    <row r="30" customFormat="false" ht="15" hidden="false" customHeight="true" outlineLevel="0" collapsed="false">
      <c r="D30" s="1" t="s">
        <v>22</v>
      </c>
      <c r="G30" s="1" t="s">
        <v>22</v>
      </c>
      <c r="K30" s="1" t="s">
        <v>22</v>
      </c>
      <c r="L30" s="11"/>
      <c r="N30" s="1" t="s">
        <v>22</v>
      </c>
    </row>
    <row r="31" customFormat="false" ht="15" hidden="false" customHeight="true" outlineLevel="0" collapsed="false">
      <c r="K31" s="1" t="s">
        <v>18</v>
      </c>
      <c r="L31" s="1" t="n">
        <v>-120</v>
      </c>
    </row>
    <row r="33" customFormat="false" ht="15.75" hidden="false" customHeight="true" outlineLevel="0" collapsed="false">
      <c r="G33" s="21" t="s">
        <v>23</v>
      </c>
      <c r="H33" s="21"/>
      <c r="I33" s="21"/>
      <c r="J33" s="14"/>
      <c r="P33" s="9" t="n">
        <f aca="false">L27+O27</f>
        <v>1078.223</v>
      </c>
    </row>
    <row r="34" customFormat="false" ht="15" hidden="false" customHeight="true" outlineLevel="0" collapsed="false">
      <c r="G34" s="1" t="s">
        <v>24</v>
      </c>
      <c r="H34" s="11" t="n">
        <f aca="false">L27</f>
        <v>239.488</v>
      </c>
      <c r="I34" s="17" t="n">
        <f aca="false">H34/H$36</f>
        <v>0.22211360729645</v>
      </c>
      <c r="J34" s="17"/>
    </row>
    <row r="35" customFormat="false" ht="15" hidden="false" customHeight="true" outlineLevel="0" collapsed="false">
      <c r="G35" s="1" t="s">
        <v>1</v>
      </c>
      <c r="H35" s="11" t="n">
        <f aca="false">O27</f>
        <v>838.735</v>
      </c>
      <c r="I35" s="17" t="n">
        <f aca="false">H35/H$36</f>
        <v>0.77788639270355</v>
      </c>
      <c r="J35" s="17"/>
      <c r="K35" s="22"/>
    </row>
    <row r="36" customFormat="false" ht="15.75" hidden="false" customHeight="true" outlineLevel="0" collapsed="false">
      <c r="G36" s="23" t="s">
        <v>25</v>
      </c>
      <c r="H36" s="24" t="n">
        <f aca="false">SUM(H34:H35)</f>
        <v>1078.223</v>
      </c>
      <c r="I36" s="25" t="n">
        <f aca="false">H36/H$36</f>
        <v>1</v>
      </c>
      <c r="J36" s="17"/>
    </row>
    <row r="37" customFormat="false" ht="15.75" hidden="false" customHeight="true" outlineLevel="0" collapsed="false"/>
    <row r="39" customFormat="false" ht="15.75" hidden="false" customHeight="true" outlineLevel="0" collapsed="false">
      <c r="D39" s="4" t="s">
        <v>26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customFormat="false" ht="18.75" hidden="false" customHeight="true" outlineLevel="0" collapsed="false">
      <c r="D40" s="5" t="s">
        <v>4</v>
      </c>
      <c r="G40" s="5" t="s">
        <v>5</v>
      </c>
      <c r="K40" s="5" t="s">
        <v>6</v>
      </c>
      <c r="N40" s="5" t="s">
        <v>1</v>
      </c>
    </row>
    <row r="41" customFormat="false" ht="15" hidden="false" customHeight="true" outlineLevel="0" collapsed="false">
      <c r="L41" s="11" t="n">
        <f aca="false">L42-L7-O7</f>
        <v>0</v>
      </c>
    </row>
    <row r="42" customFormat="false" ht="15" hidden="false" customHeight="true" outlineLevel="0" collapsed="false">
      <c r="D42" s="6" t="s">
        <v>7</v>
      </c>
      <c r="E42" s="26" t="n">
        <f aca="false">E43+E48</f>
        <v>464.714113</v>
      </c>
      <c r="G42" s="6" t="s">
        <v>7</v>
      </c>
      <c r="H42" s="26" t="n">
        <f aca="false">H43+H48</f>
        <v>464.714113</v>
      </c>
      <c r="K42" s="6" t="s">
        <v>7</v>
      </c>
      <c r="L42" s="10" t="n">
        <f aca="false">L43+L50</f>
        <v>43749.465</v>
      </c>
      <c r="N42" s="6" t="s">
        <v>7</v>
      </c>
      <c r="O42" s="10"/>
    </row>
    <row r="43" customFormat="false" ht="15" hidden="false" customHeight="true" outlineLevel="0" collapsed="false">
      <c r="D43" s="6" t="s">
        <v>8</v>
      </c>
      <c r="G43" s="6" t="s">
        <v>8</v>
      </c>
      <c r="K43" s="6" t="s">
        <v>8</v>
      </c>
      <c r="L43" s="10" t="n">
        <f aca="false">SUM(L44:L47)</f>
        <v>3624.246</v>
      </c>
      <c r="N43" s="6" t="s">
        <v>8</v>
      </c>
      <c r="O43" s="10" t="n">
        <f aca="false">SUM(O44:O46)</f>
        <v>0</v>
      </c>
    </row>
    <row r="44" customFormat="false" ht="15" hidden="false" customHeight="true" outlineLevel="0" collapsed="false">
      <c r="D44" s="1" t="s">
        <v>9</v>
      </c>
      <c r="G44" s="1" t="s">
        <v>9</v>
      </c>
      <c r="K44" s="1" t="s">
        <v>9</v>
      </c>
      <c r="L44" s="11" t="n">
        <f aca="false">L9+O9</f>
        <v>1273.812</v>
      </c>
      <c r="N44" s="1" t="s">
        <v>9</v>
      </c>
      <c r="O44" s="11"/>
    </row>
    <row r="45" customFormat="false" ht="15" hidden="false" customHeight="true" outlineLevel="0" collapsed="false">
      <c r="D45" s="1" t="s">
        <v>11</v>
      </c>
      <c r="G45" s="1" t="s">
        <v>11</v>
      </c>
      <c r="K45" s="1" t="s">
        <v>11</v>
      </c>
      <c r="L45" s="11" t="n">
        <f aca="false">L10+O10</f>
        <v>0</v>
      </c>
      <c r="N45" s="1" t="s">
        <v>11</v>
      </c>
      <c r="O45" s="11"/>
    </row>
    <row r="46" customFormat="false" ht="15" hidden="false" customHeight="true" outlineLevel="0" collapsed="false">
      <c r="K46" s="1" t="s">
        <v>12</v>
      </c>
      <c r="L46" s="11" t="n">
        <f aca="false">L11+O11</f>
        <v>2153.755</v>
      </c>
      <c r="N46" s="1" t="s">
        <v>12</v>
      </c>
      <c r="O46" s="11"/>
    </row>
    <row r="47" customFormat="false" ht="15" hidden="false" customHeight="true" outlineLevel="0" collapsed="false">
      <c r="D47" s="1" t="s">
        <v>13</v>
      </c>
      <c r="G47" s="1" t="s">
        <v>13</v>
      </c>
      <c r="K47" s="1" t="s">
        <v>13</v>
      </c>
      <c r="L47" s="11" t="n">
        <f aca="false">L12+O12</f>
        <v>196.679</v>
      </c>
      <c r="N47" s="1" t="s">
        <v>13</v>
      </c>
      <c r="O47" s="11"/>
    </row>
    <row r="48" customFormat="false" ht="15" hidden="false" customHeight="true" outlineLevel="0" collapsed="false">
      <c r="D48" s="6" t="s">
        <v>8</v>
      </c>
      <c r="E48" s="26" t="n">
        <f aca="false">SUM(E49:E51)</f>
        <v>464.714113</v>
      </c>
      <c r="G48" s="6" t="s">
        <v>8</v>
      </c>
      <c r="H48" s="26" t="n">
        <f aca="false">SUM(H49:H51)</f>
        <v>464.714113</v>
      </c>
      <c r="I48" s="27" t="n">
        <f aca="false">E48+H48</f>
        <v>929.428226</v>
      </c>
      <c r="K48" s="6" t="s">
        <v>8</v>
      </c>
      <c r="L48" s="11"/>
      <c r="N48" s="6" t="s">
        <v>8</v>
      </c>
      <c r="O48" s="11"/>
    </row>
    <row r="49" customFormat="false" ht="15" hidden="false" customHeight="true" outlineLevel="0" collapsed="false">
      <c r="D49" s="1" t="s">
        <v>14</v>
      </c>
      <c r="E49" s="12" t="n">
        <f aca="false">E14</f>
        <v>119.744</v>
      </c>
      <c r="G49" s="1" t="s">
        <v>14</v>
      </c>
      <c r="H49" s="12" t="n">
        <f aca="false">H27</f>
        <v>119.744</v>
      </c>
      <c r="L49" s="11"/>
      <c r="O49" s="11"/>
    </row>
    <row r="50" customFormat="false" ht="15" hidden="false" customHeight="true" outlineLevel="0" collapsed="false">
      <c r="B50" s="11" t="n">
        <f aca="false">E50+H50</f>
        <v>838.735</v>
      </c>
      <c r="D50" s="1" t="s">
        <v>27</v>
      </c>
      <c r="E50" s="28" t="n">
        <f aca="false">O27/2</f>
        <v>419.3675</v>
      </c>
      <c r="G50" s="1" t="s">
        <v>27</v>
      </c>
      <c r="H50" s="28" t="n">
        <f aca="false">O27/2</f>
        <v>419.3675</v>
      </c>
      <c r="J50" s="11"/>
      <c r="K50" s="6" t="s">
        <v>15</v>
      </c>
      <c r="L50" s="10" t="n">
        <f aca="false">L24+O24</f>
        <v>40125.219</v>
      </c>
      <c r="N50" s="6" t="s">
        <v>15</v>
      </c>
      <c r="O50" s="10"/>
    </row>
    <row r="51" customFormat="false" ht="15" hidden="false" customHeight="true" outlineLevel="0" collapsed="false">
      <c r="D51" s="1" t="s">
        <v>28</v>
      </c>
      <c r="E51" s="29" t="n">
        <f aca="false">E66</f>
        <v>-74.397387</v>
      </c>
      <c r="G51" s="1" t="s">
        <v>28</v>
      </c>
      <c r="H51" s="29" t="n">
        <f aca="false">H66</f>
        <v>-74.397387</v>
      </c>
      <c r="L51" s="11"/>
      <c r="O51" s="11"/>
    </row>
    <row r="52" customFormat="false" ht="15" hidden="false" customHeight="true" outlineLevel="0" collapsed="false">
      <c r="D52" s="30" t="s">
        <v>29</v>
      </c>
      <c r="E52" s="31" t="n">
        <f aca="false">E50+E51</f>
        <v>344.970113</v>
      </c>
      <c r="G52" s="30" t="s">
        <v>29</v>
      </c>
      <c r="H52" s="31" t="n">
        <f aca="false">H50+H51</f>
        <v>344.970113</v>
      </c>
      <c r="L52" s="11"/>
      <c r="O52" s="11"/>
    </row>
    <row r="53" customFormat="false" ht="15" hidden="false" customHeight="true" outlineLevel="0" collapsed="false">
      <c r="D53" s="6" t="s">
        <v>16</v>
      </c>
      <c r="E53" s="3" t="n">
        <f aca="false">E54+E62</f>
        <v>464.714113</v>
      </c>
      <c r="G53" s="6" t="s">
        <v>16</v>
      </c>
      <c r="H53" s="3" t="n">
        <f aca="false">H54+H62</f>
        <v>464.714113</v>
      </c>
      <c r="K53" s="6" t="s">
        <v>16</v>
      </c>
      <c r="L53" s="10" t="n">
        <f aca="false">L54+L62</f>
        <v>43748.961</v>
      </c>
      <c r="N53" s="6" t="s">
        <v>16</v>
      </c>
      <c r="O53" s="10" t="n">
        <f aca="false">O54+O62</f>
        <v>0</v>
      </c>
    </row>
    <row r="54" customFormat="false" ht="15" hidden="false" customHeight="true" outlineLevel="0" collapsed="false">
      <c r="D54" s="6" t="s">
        <v>17</v>
      </c>
      <c r="E54" s="3" t="n">
        <f aca="false">E55</f>
        <v>0</v>
      </c>
      <c r="G54" s="6" t="s">
        <v>17</v>
      </c>
      <c r="H54" s="1" t="n">
        <f aca="false">H55</f>
        <v>0</v>
      </c>
      <c r="K54" s="6" t="s">
        <v>17</v>
      </c>
      <c r="L54" s="10" t="n">
        <f aca="false">L55+L59</f>
        <v>42670.738</v>
      </c>
      <c r="N54" s="6" t="s">
        <v>17</v>
      </c>
      <c r="O54" s="10" t="n">
        <f aca="false">O55+O59</f>
        <v>0</v>
      </c>
    </row>
    <row r="55" customFormat="false" ht="15" hidden="false" customHeight="true" outlineLevel="0" collapsed="false">
      <c r="D55" s="6" t="s">
        <v>8</v>
      </c>
      <c r="E55" s="1" t="n">
        <f aca="false">SUM(E56:E57)</f>
        <v>0</v>
      </c>
      <c r="G55" s="6" t="s">
        <v>8</v>
      </c>
      <c r="H55" s="1" t="n">
        <f aca="false">H56</f>
        <v>0</v>
      </c>
      <c r="K55" s="6" t="s">
        <v>8</v>
      </c>
      <c r="L55" s="10" t="n">
        <f aca="false">SUM(L56:L58)</f>
        <v>2545.519</v>
      </c>
      <c r="N55" s="6" t="s">
        <v>8</v>
      </c>
      <c r="O55" s="10" t="n">
        <f aca="false">SUM(O56:O57)</f>
        <v>0</v>
      </c>
    </row>
    <row r="56" customFormat="false" ht="15" hidden="false" customHeight="true" outlineLevel="0" collapsed="false">
      <c r="D56" s="1" t="s">
        <v>9</v>
      </c>
      <c r="G56" s="1" t="s">
        <v>9</v>
      </c>
      <c r="K56" s="1" t="s">
        <v>9</v>
      </c>
      <c r="L56" s="11" t="n">
        <f aca="false">L21+O21</f>
        <v>652.817000000002</v>
      </c>
      <c r="N56" s="1" t="s">
        <v>9</v>
      </c>
      <c r="O56" s="11"/>
    </row>
    <row r="57" customFormat="false" ht="15" hidden="false" customHeight="true" outlineLevel="0" collapsed="false">
      <c r="K57" s="1" t="s">
        <v>12</v>
      </c>
      <c r="L57" s="11" t="n">
        <f aca="false">L22+O22</f>
        <v>1772.702</v>
      </c>
      <c r="N57" s="1" t="s">
        <v>12</v>
      </c>
      <c r="O57" s="11"/>
    </row>
    <row r="58" customFormat="false" ht="15" hidden="false" customHeight="true" outlineLevel="0" collapsed="false">
      <c r="K58" s="1" t="str">
        <f aca="false">K31</f>
        <v>dividendos</v>
      </c>
      <c r="L58" s="11" t="n">
        <v>120</v>
      </c>
      <c r="O58" s="11"/>
    </row>
    <row r="59" customFormat="false" ht="15" hidden="false" customHeight="true" outlineLevel="0" collapsed="false">
      <c r="D59" s="6"/>
      <c r="G59" s="6"/>
      <c r="K59" s="6" t="s">
        <v>15</v>
      </c>
      <c r="L59" s="10" t="n">
        <f aca="false">L24+O24</f>
        <v>40125.219</v>
      </c>
      <c r="N59" s="6" t="s">
        <v>15</v>
      </c>
      <c r="O59" s="10"/>
    </row>
    <row r="60" customFormat="false" ht="15" hidden="false" customHeight="true" outlineLevel="0" collapsed="false">
      <c r="L60" s="11"/>
      <c r="O60" s="11"/>
    </row>
    <row r="61" customFormat="false" ht="15" hidden="false" customHeight="true" outlineLevel="0" collapsed="false">
      <c r="L61" s="11" t="n">
        <f aca="false">L62-L27-O27</f>
        <v>0</v>
      </c>
      <c r="O61" s="11"/>
    </row>
    <row r="62" customFormat="false" ht="15" hidden="false" customHeight="true" outlineLevel="0" collapsed="false">
      <c r="D62" s="6" t="s">
        <v>19</v>
      </c>
      <c r="E62" s="3" t="n">
        <f aca="false">SUM(E63:E66)</f>
        <v>464.714113</v>
      </c>
      <c r="G62" s="6" t="s">
        <v>19</v>
      </c>
      <c r="H62" s="3" t="n">
        <f aca="false">SUM(H63:H66)</f>
        <v>464.714113</v>
      </c>
      <c r="K62" s="6" t="s">
        <v>19</v>
      </c>
      <c r="L62" s="18" t="n">
        <f aca="false">SUM(L63:L66)</f>
        <v>1078.223</v>
      </c>
      <c r="N62" s="6" t="s">
        <v>19</v>
      </c>
      <c r="O62" s="10" t="n">
        <f aca="false">L62-L27-O27</f>
        <v>0</v>
      </c>
    </row>
    <row r="63" customFormat="false" ht="15" hidden="false" customHeight="true" outlineLevel="0" collapsed="false">
      <c r="D63" s="1" t="s">
        <v>20</v>
      </c>
      <c r="E63" s="11" t="n">
        <f aca="false">E49</f>
        <v>119.744</v>
      </c>
      <c r="G63" s="1" t="s">
        <v>20</v>
      </c>
      <c r="H63" s="11" t="n">
        <f aca="false">H49</f>
        <v>119.744</v>
      </c>
      <c r="K63" s="1" t="s">
        <v>20</v>
      </c>
      <c r="L63" s="11" t="n">
        <f aca="false">L28+O28</f>
        <v>604</v>
      </c>
      <c r="N63" s="1" t="s">
        <v>20</v>
      </c>
      <c r="O63" s="11"/>
    </row>
    <row r="64" customFormat="false" ht="15.75" hidden="false" customHeight="true" outlineLevel="0" collapsed="false">
      <c r="D64" s="1" t="s">
        <v>21</v>
      </c>
      <c r="G64" s="1" t="s">
        <v>21</v>
      </c>
      <c r="K64" s="1" t="s">
        <v>21</v>
      </c>
      <c r="L64" s="11" t="n">
        <f aca="false">L29+O29</f>
        <v>594.223</v>
      </c>
      <c r="N64" s="1" t="s">
        <v>21</v>
      </c>
      <c r="O64" s="11"/>
    </row>
    <row r="65" customFormat="false" ht="15" hidden="false" customHeight="true" outlineLevel="0" collapsed="false">
      <c r="D65" s="32" t="s">
        <v>30</v>
      </c>
      <c r="E65" s="33" t="n">
        <f aca="false">O27/2</f>
        <v>419.3675</v>
      </c>
      <c r="G65" s="32" t="s">
        <v>30</v>
      </c>
      <c r="H65" s="33" t="n">
        <f aca="false">O27/2</f>
        <v>419.3675</v>
      </c>
      <c r="K65" s="1" t="s">
        <v>22</v>
      </c>
      <c r="L65" s="11"/>
      <c r="N65" s="1" t="s">
        <v>22</v>
      </c>
    </row>
    <row r="66" customFormat="false" ht="15.75" hidden="false" customHeight="true" outlineLevel="0" collapsed="false">
      <c r="D66" s="34" t="s">
        <v>28</v>
      </c>
      <c r="E66" s="35" t="n">
        <f aca="false">-E75</f>
        <v>-74.397387</v>
      </c>
      <c r="G66" s="34" t="s">
        <v>28</v>
      </c>
      <c r="H66" s="35" t="n">
        <f aca="false">-H75</f>
        <v>-74.397387</v>
      </c>
      <c r="K66" s="1" t="s">
        <v>18</v>
      </c>
      <c r="L66" s="1" t="n">
        <f aca="false">L31</f>
        <v>-120</v>
      </c>
    </row>
    <row r="67" customFormat="false" ht="15" hidden="false" customHeight="true" outlineLevel="0" collapsed="false">
      <c r="D67" s="30" t="s">
        <v>29</v>
      </c>
      <c r="E67" s="31" t="n">
        <f aca="false">E65+E66</f>
        <v>344.970113</v>
      </c>
      <c r="G67" s="30" t="s">
        <v>29</v>
      </c>
      <c r="H67" s="31" t="n">
        <f aca="false">H65+H66</f>
        <v>344.970113</v>
      </c>
      <c r="L67" s="11"/>
      <c r="O67" s="11"/>
    </row>
    <row r="68" customFormat="false" ht="15.75" hidden="false" customHeight="true" outlineLevel="0" collapsed="false">
      <c r="I68" s="1" t="s">
        <v>31</v>
      </c>
      <c r="L68" s="11"/>
    </row>
    <row r="69" customFormat="false" ht="15" hidden="false" customHeight="true" outlineLevel="0" collapsed="false">
      <c r="D69" s="32" t="s">
        <v>32</v>
      </c>
      <c r="E69" s="36" t="n">
        <f aca="false">E62-E27</f>
        <v>344.970113</v>
      </c>
      <c r="F69" s="36"/>
      <c r="G69" s="36"/>
      <c r="H69" s="37" t="n">
        <f aca="false">H62-H27</f>
        <v>344.970113</v>
      </c>
      <c r="I69" s="1" t="s">
        <v>33</v>
      </c>
      <c r="J69" s="11" t="n">
        <f aca="false">E27+H27</f>
        <v>239.488</v>
      </c>
      <c r="L69" s="11" t="n">
        <f aca="false">L62</f>
        <v>1078.223</v>
      </c>
    </row>
    <row r="70" customFormat="false" ht="15.75" hidden="false" customHeight="true" outlineLevel="0" collapsed="false">
      <c r="D70" s="34"/>
      <c r="E70" s="38"/>
      <c r="F70" s="38"/>
      <c r="G70" s="38"/>
      <c r="H70" s="39" t="n">
        <f aca="false">E69+H69</f>
        <v>689.940226</v>
      </c>
      <c r="I70" s="11" t="s">
        <v>34</v>
      </c>
      <c r="J70" s="11" t="n">
        <f aca="false">H70</f>
        <v>689.940226</v>
      </c>
      <c r="K70" s="17" t="n">
        <f aca="false">E71</f>
        <v>0.138</v>
      </c>
      <c r="L70" s="27" t="n">
        <f aca="false">L69*K70</f>
        <v>148.794774</v>
      </c>
      <c r="N70" s="1" t="s">
        <v>1</v>
      </c>
    </row>
    <row r="71" customFormat="false" ht="15.75" hidden="false" customHeight="true" outlineLevel="0" collapsed="false">
      <c r="D71" s="1" t="s">
        <v>35</v>
      </c>
      <c r="E71" s="17" t="n">
        <v>0.138</v>
      </c>
      <c r="H71" s="17" t="n">
        <f aca="false">E71</f>
        <v>0.138</v>
      </c>
      <c r="I71" s="1" t="s">
        <v>36</v>
      </c>
      <c r="J71" s="24" t="n">
        <f aca="false">SUM(J69:J70)</f>
        <v>929.428226</v>
      </c>
      <c r="K71" s="17" t="n">
        <f aca="false">1-K70</f>
        <v>0.862</v>
      </c>
      <c r="L71" s="27" t="n">
        <f aca="false">L69*K71</f>
        <v>929.428226</v>
      </c>
      <c r="N71" s="1" t="s">
        <v>37</v>
      </c>
    </row>
    <row r="72" customFormat="false" ht="15.75" hidden="false" customHeight="true" outlineLevel="0" collapsed="false">
      <c r="D72" s="1" t="str">
        <f aca="false">D49</f>
        <v>Inv. Embracon</v>
      </c>
      <c r="E72" s="12" t="n">
        <f aca="false">E49</f>
        <v>119.744</v>
      </c>
      <c r="H72" s="17"/>
      <c r="K72" s="17"/>
      <c r="L72" s="27"/>
    </row>
    <row r="73" customFormat="false" ht="15" hidden="false" customHeight="true" outlineLevel="0" collapsed="false">
      <c r="D73" s="1" t="str">
        <f aca="false">D50</f>
        <v>Incorporaçao base</v>
      </c>
      <c r="E73" s="40" t="n">
        <f aca="false">E50</f>
        <v>419.3675</v>
      </c>
      <c r="L73" s="1" t="s">
        <v>38</v>
      </c>
      <c r="P73" s="9"/>
    </row>
    <row r="74" customFormat="false" ht="15" hidden="false" customHeight="true" outlineLevel="0" collapsed="false">
      <c r="D74" s="6" t="s">
        <v>39</v>
      </c>
      <c r="E74" s="11" t="n">
        <f aca="false">SUM(E72:E73)</f>
        <v>539.1115</v>
      </c>
      <c r="G74" s="6" t="s">
        <v>19</v>
      </c>
      <c r="H74" s="11" t="n">
        <f aca="false">H49+H50</f>
        <v>539.1115</v>
      </c>
      <c r="L74" s="27" t="n">
        <f aca="false">L71/2</f>
        <v>464.714113</v>
      </c>
      <c r="P74" s="41"/>
    </row>
    <row r="75" customFormat="false" ht="15" hidden="false" customHeight="true" outlineLevel="0" collapsed="false">
      <c r="D75" s="23" t="s">
        <v>40</v>
      </c>
      <c r="E75" s="42" t="n">
        <f aca="false">E74*E71</f>
        <v>74.397387</v>
      </c>
      <c r="H75" s="1" t="n">
        <f aca="false">H74*H71</f>
        <v>74.397387</v>
      </c>
      <c r="W75" s="3"/>
      <c r="Z75" s="3"/>
    </row>
    <row r="76" customFormat="false" ht="15.75" hidden="false" customHeight="true" outlineLevel="0" collapsed="false">
      <c r="K76" s="1" t="s">
        <v>41</v>
      </c>
      <c r="L76" s="27" t="n">
        <f aca="false">L70/2</f>
        <v>74.397387</v>
      </c>
      <c r="N76" s="43" t="s">
        <v>42</v>
      </c>
      <c r="Q76" s="44" t="n">
        <f aca="false">Q84/Q78</f>
        <v>1</v>
      </c>
      <c r="W76" s="45"/>
      <c r="X76" s="46" t="s">
        <v>43</v>
      </c>
      <c r="Y76" s="46"/>
      <c r="Z76" s="46" t="s">
        <v>44</v>
      </c>
      <c r="AA76" s="46"/>
    </row>
    <row r="77" customFormat="false" ht="15" hidden="false" customHeight="true" outlineLevel="0" collapsed="false">
      <c r="N77" s="47"/>
      <c r="O77" s="48" t="s">
        <v>45</v>
      </c>
      <c r="P77" s="48" t="s">
        <v>46</v>
      </c>
      <c r="Q77" s="49" t="s">
        <v>47</v>
      </c>
      <c r="R77" s="50" t="s">
        <v>48</v>
      </c>
      <c r="S77" s="51"/>
      <c r="T77" s="52"/>
      <c r="W77" s="53" t="s">
        <v>49</v>
      </c>
      <c r="X77" s="54" t="s">
        <v>50</v>
      </c>
      <c r="Y77" s="55" t="s">
        <v>51</v>
      </c>
      <c r="Z77" s="54" t="s">
        <v>50</v>
      </c>
      <c r="AA77" s="55" t="s">
        <v>51</v>
      </c>
    </row>
    <row r="78" customFormat="false" ht="15" hidden="false" customHeight="true" outlineLevel="0" collapsed="false">
      <c r="D78" s="56" t="s">
        <v>52</v>
      </c>
      <c r="E78" s="3" t="s">
        <v>45</v>
      </c>
      <c r="N78" s="57"/>
      <c r="Q78" s="58" t="n">
        <v>0.6</v>
      </c>
      <c r="T78" s="59"/>
      <c r="W78" s="60" t="n">
        <v>1000</v>
      </c>
      <c r="X78" s="61" t="n">
        <f aca="false">(W78-$Q$83*Q76)*34%</f>
        <v>117.075532</v>
      </c>
      <c r="Y78" s="62" t="n">
        <f aca="false">Y79</f>
        <v>1051.13016537644</v>
      </c>
      <c r="Z78" s="61" t="n">
        <f aca="false">(W78-18)*22.5%</f>
        <v>220.95</v>
      </c>
      <c r="AA78" s="62" t="n">
        <f aca="false">W101</f>
        <v>1051.13016537644</v>
      </c>
    </row>
    <row r="79" customFormat="false" ht="15" hidden="false" customHeight="true" outlineLevel="0" collapsed="false">
      <c r="D79" s="1" t="s">
        <v>6</v>
      </c>
      <c r="E79" s="63" t="n">
        <f aca="false">L62</f>
        <v>1078.223</v>
      </c>
      <c r="F79" s="64" t="n">
        <f aca="false">E79/$E$79</f>
        <v>1</v>
      </c>
      <c r="I79" s="65" t="s">
        <v>53</v>
      </c>
      <c r="N79" s="57" t="s">
        <v>54</v>
      </c>
      <c r="O79" s="11" t="n">
        <f aca="false">$G$141/1000</f>
        <v>254.032</v>
      </c>
      <c r="P79" s="11" t="n">
        <f aca="false">O79</f>
        <v>254.032</v>
      </c>
      <c r="Q79" s="11" t="n">
        <f aca="false">P79+F100</f>
        <v>187.475616</v>
      </c>
      <c r="R79" s="11" t="n">
        <f aca="false">Q79-P79</f>
        <v>-66.556384</v>
      </c>
      <c r="S79" s="1" t="s">
        <v>55</v>
      </c>
      <c r="T79" s="59"/>
      <c r="W79" s="60" t="n">
        <f aca="false">O100</f>
        <v>3572.8866</v>
      </c>
      <c r="X79" s="61" t="n">
        <f aca="false">(W79-$Q$83*Q76)*34%</f>
        <v>991.856976</v>
      </c>
      <c r="Y79" s="62" t="n">
        <f aca="false">(W79-$O$97)*34%</f>
        <v>1051.13016537644</v>
      </c>
      <c r="Z79" s="61" t="n">
        <f aca="false">(W79-18)*22.5%</f>
        <v>799.849485</v>
      </c>
      <c r="AA79" s="62" t="n">
        <f aca="false">AA78</f>
        <v>1051.13016537644</v>
      </c>
    </row>
    <row r="80" customFormat="false" ht="15" hidden="false" customHeight="true" outlineLevel="0" collapsed="false">
      <c r="D80" s="1" t="s">
        <v>56</v>
      </c>
      <c r="E80" s="1" t="n">
        <f aca="false">E62</f>
        <v>464.714113</v>
      </c>
      <c r="F80" s="17" t="n">
        <f aca="false">E80/$E$79</f>
        <v>0.431</v>
      </c>
      <c r="G80" s="66" t="s">
        <v>57</v>
      </c>
      <c r="H80" s="27" t="n">
        <f aca="false">E14</f>
        <v>119.744</v>
      </c>
      <c r="I80" s="67" t="n">
        <f aca="false">E80-H80</f>
        <v>344.970113</v>
      </c>
      <c r="N80" s="57" t="s">
        <v>58</v>
      </c>
      <c r="O80" s="68" t="n">
        <f aca="false">H35*P88</f>
        <v>548.180150115474</v>
      </c>
      <c r="P80" s="2" t="n">
        <v>0</v>
      </c>
      <c r="Q80" s="11" t="n">
        <f aca="false">T85</f>
        <v>293.851674069284</v>
      </c>
      <c r="R80" s="11" t="n">
        <f aca="false">Q80-P80</f>
        <v>293.851674069284</v>
      </c>
      <c r="S80" s="1" t="s">
        <v>59</v>
      </c>
      <c r="T80" s="59"/>
      <c r="W80" s="69" t="n">
        <v>5000</v>
      </c>
      <c r="X80" s="70" t="n">
        <f aca="false">(W80-$Q$83*Q76)*34%</f>
        <v>1477.075532</v>
      </c>
      <c r="Y80" s="71" t="n">
        <f aca="false">(W80-$O$97)*34%</f>
        <v>1536.34872137644</v>
      </c>
      <c r="Z80" s="70" t="n">
        <f aca="false">(W80-18)*22.5%</f>
        <v>1120.95</v>
      </c>
      <c r="AA80" s="71" t="n">
        <f aca="false">AA79+(W80-W79)*22.5%</f>
        <v>1372.23068037644</v>
      </c>
    </row>
    <row r="81" customFormat="false" ht="15" hidden="false" customHeight="true" outlineLevel="0" collapsed="false">
      <c r="D81" s="1" t="s">
        <v>5</v>
      </c>
      <c r="E81" s="1" t="n">
        <f aca="false">H62</f>
        <v>464.714113</v>
      </c>
      <c r="F81" s="17" t="n">
        <f aca="false">E81/$E$79</f>
        <v>0.431</v>
      </c>
      <c r="G81" s="66" t="s">
        <v>57</v>
      </c>
      <c r="H81" s="27" t="n">
        <f aca="false">H14</f>
        <v>119.744</v>
      </c>
      <c r="I81" s="67" t="n">
        <f aca="false">E81-H81</f>
        <v>344.970113</v>
      </c>
      <c r="N81" s="57" t="s">
        <v>60</v>
      </c>
      <c r="O81" s="68" t="n">
        <f aca="false">H35*O88</f>
        <v>290.554849884527</v>
      </c>
      <c r="P81" s="2" t="n">
        <v>0</v>
      </c>
      <c r="Q81" s="11" t="n">
        <f aca="false">O81*$Q$78</f>
        <v>174.332909930716</v>
      </c>
      <c r="R81" s="11" t="n">
        <f aca="false">Q81-P81</f>
        <v>174.332909930716</v>
      </c>
      <c r="S81" s="1" t="s">
        <v>61</v>
      </c>
      <c r="T81" s="59"/>
    </row>
    <row r="82" customFormat="false" ht="15" hidden="false" customHeight="true" outlineLevel="0" collapsed="false">
      <c r="D82" s="1" t="s">
        <v>62</v>
      </c>
      <c r="E82" s="72" t="n">
        <f aca="false">L70</f>
        <v>148.794774</v>
      </c>
      <c r="F82" s="17" t="n">
        <f aca="false">E82/$E$79</f>
        <v>0.138</v>
      </c>
      <c r="G82" s="66" t="s">
        <v>63</v>
      </c>
      <c r="H82" s="27" t="n">
        <f aca="false">O27</f>
        <v>838.735</v>
      </c>
      <c r="W82" s="45" t="s">
        <v>64</v>
      </c>
      <c r="X82" s="73"/>
      <c r="Y82" s="73"/>
      <c r="Z82" s="11"/>
    </row>
    <row r="83" customFormat="false" ht="15.75" hidden="false" customHeight="true" outlineLevel="0" collapsed="false">
      <c r="E83" s="11"/>
      <c r="G83" s="66" t="s">
        <v>28</v>
      </c>
      <c r="H83" s="27" t="n">
        <f aca="false">E51</f>
        <v>-74.397387</v>
      </c>
      <c r="N83" s="74" t="s">
        <v>65</v>
      </c>
      <c r="O83" s="75" t="n">
        <f aca="false">SUM(O79:O81)</f>
        <v>1092.767</v>
      </c>
      <c r="P83" s="75" t="n">
        <f aca="false">SUM(P79:P81)</f>
        <v>254.032</v>
      </c>
      <c r="Q83" s="75" t="n">
        <f aca="false">SUM(Q79:Q81)</f>
        <v>655.6602</v>
      </c>
      <c r="R83" s="75" t="n">
        <f aca="false">SUM(R79:R81)</f>
        <v>401.6282</v>
      </c>
      <c r="S83" s="76"/>
      <c r="T83" s="77"/>
      <c r="W83" s="6" t="s">
        <v>49</v>
      </c>
      <c r="X83" s="6" t="s">
        <v>50</v>
      </c>
      <c r="Y83" s="6" t="s">
        <v>51</v>
      </c>
      <c r="Z83" s="11"/>
    </row>
    <row r="84" customFormat="false" ht="15" hidden="false" customHeight="true" outlineLevel="0" collapsed="false">
      <c r="G84" s="66" t="s">
        <v>28</v>
      </c>
      <c r="H84" s="78" t="n">
        <f aca="false">H51</f>
        <v>-74.397387</v>
      </c>
      <c r="Q84" s="16" t="n">
        <v>0.6</v>
      </c>
      <c r="W84" s="11" t="n">
        <v>1000</v>
      </c>
      <c r="X84" s="11" t="n">
        <f aca="false">(W84-$Q$79-Q80)*34%</f>
        <v>176.348721376443</v>
      </c>
      <c r="Y84" s="12" t="n">
        <f aca="false">Y85</f>
        <v>1051.13016537644</v>
      </c>
    </row>
    <row r="85" customFormat="false" ht="15.75" hidden="false" customHeight="true" outlineLevel="0" collapsed="false">
      <c r="H85" s="27" t="n">
        <f aca="false">SUM(H80:H84)</f>
        <v>929.428226</v>
      </c>
      <c r="N85" s="43" t="s">
        <v>66</v>
      </c>
      <c r="Q85" s="11" t="n">
        <f aca="false">Q84*O83</f>
        <v>655.6602</v>
      </c>
      <c r="R85" s="11" t="n">
        <f aca="false">O83*60%</f>
        <v>655.6602</v>
      </c>
      <c r="S85" s="11" t="n">
        <f aca="false">Q79+Q81</f>
        <v>361.808525930716</v>
      </c>
      <c r="T85" s="11" t="n">
        <f aca="false">Q85-S85</f>
        <v>293.851674069284</v>
      </c>
      <c r="W85" s="11" t="n">
        <f aca="false">W79</f>
        <v>3572.8866</v>
      </c>
      <c r="X85" s="11" t="n">
        <f aca="false">(W85-$Q$79-Q80)*34%</f>
        <v>1051.13016537644</v>
      </c>
      <c r="Y85" s="11" t="n">
        <f aca="false">(W85-$O$97)*34%</f>
        <v>1051.13016537644</v>
      </c>
    </row>
    <row r="86" customFormat="false" ht="15" hidden="false" customHeight="true" outlineLevel="0" collapsed="false">
      <c r="E86" s="17" t="n">
        <f aca="false">E71</f>
        <v>0.138</v>
      </c>
      <c r="G86" s="66" t="s">
        <v>67</v>
      </c>
      <c r="H86" s="27"/>
      <c r="N86" s="79" t="s">
        <v>68</v>
      </c>
      <c r="O86" s="80" t="s">
        <v>69</v>
      </c>
      <c r="P86" s="81" t="s">
        <v>70</v>
      </c>
      <c r="W86" s="11" t="n">
        <v>5000</v>
      </c>
      <c r="X86" s="11" t="n">
        <f aca="false">(W86-$Q$79-Q80)*34%</f>
        <v>1536.34872137644</v>
      </c>
      <c r="Y86" s="11" t="n">
        <f aca="false">(W86-$O$97)*34%</f>
        <v>1536.34872137644</v>
      </c>
    </row>
    <row r="87" customFormat="false" ht="15" hidden="false" customHeight="true" outlineLevel="0" collapsed="false">
      <c r="E87" s="82" t="n">
        <v>0.4</v>
      </c>
      <c r="G87" s="66" t="s">
        <v>4</v>
      </c>
      <c r="H87" s="27" t="n">
        <f aca="false">E48</f>
        <v>464.714113</v>
      </c>
      <c r="N87" s="83" t="n">
        <v>866</v>
      </c>
      <c r="O87" s="1" t="n">
        <v>300</v>
      </c>
      <c r="P87" s="59" t="n">
        <f aca="false">N87*P88</f>
        <v>566</v>
      </c>
    </row>
    <row r="88" customFormat="false" ht="15.75" hidden="false" customHeight="true" outlineLevel="0" collapsed="false">
      <c r="E88" s="17" t="n">
        <f aca="false">E87-E86</f>
        <v>0.262</v>
      </c>
      <c r="G88" s="66" t="s">
        <v>5</v>
      </c>
      <c r="H88" s="27" t="n">
        <f aca="false">H62</f>
        <v>464.714113</v>
      </c>
      <c r="N88" s="84"/>
      <c r="O88" s="85" t="n">
        <f aca="false">O87/N87</f>
        <v>0.346420323325635</v>
      </c>
      <c r="P88" s="86" t="n">
        <f aca="false">100%-O88</f>
        <v>0.653579676674365</v>
      </c>
      <c r="W88" s="45" t="s">
        <v>71</v>
      </c>
      <c r="X88" s="73"/>
      <c r="Y88" s="73"/>
    </row>
    <row r="89" customFormat="false" ht="15" hidden="false" customHeight="true" outlineLevel="0" collapsed="false">
      <c r="E89" s="17" t="n">
        <f aca="false">E88/2</f>
        <v>0.131</v>
      </c>
      <c r="F89" s="1" t="s">
        <v>72</v>
      </c>
      <c r="W89" s="6" t="s">
        <v>49</v>
      </c>
      <c r="X89" s="6" t="s">
        <v>50</v>
      </c>
      <c r="Y89" s="6" t="s">
        <v>51</v>
      </c>
    </row>
    <row r="90" customFormat="false" ht="15" hidden="false" customHeight="true" outlineLevel="0" collapsed="false">
      <c r="N90" s="87" t="s">
        <v>73</v>
      </c>
      <c r="O90" s="88" t="n">
        <f aca="false">$G$152/1000</f>
        <v>5954.811</v>
      </c>
      <c r="W90" s="11" t="n">
        <v>1000</v>
      </c>
      <c r="X90" s="11" t="n">
        <f aca="false">(W90-$Q$79)*34%</f>
        <v>276.25829056</v>
      </c>
      <c r="Y90" s="12" t="n">
        <f aca="false">Y91</f>
        <v>1051.13016537644</v>
      </c>
    </row>
    <row r="91" customFormat="false" ht="15" hidden="false" customHeight="true" outlineLevel="0" collapsed="false">
      <c r="D91" s="1" t="s">
        <v>74</v>
      </c>
      <c r="E91" s="89" t="s">
        <v>75</v>
      </c>
      <c r="F91" s="1" t="s">
        <v>76</v>
      </c>
      <c r="G91" s="65" t="s">
        <v>77</v>
      </c>
      <c r="H91" s="22" t="s">
        <v>78</v>
      </c>
      <c r="I91" s="22" t="s">
        <v>79</v>
      </c>
      <c r="J91" s="22"/>
      <c r="K91" s="22" t="s">
        <v>80</v>
      </c>
      <c r="N91" s="90" t="s">
        <v>81</v>
      </c>
      <c r="O91" s="91" t="n">
        <f aca="false">$G$151/1000</f>
        <v>821.924</v>
      </c>
      <c r="W91" s="11" t="n">
        <f aca="false">W85</f>
        <v>3572.8866</v>
      </c>
      <c r="X91" s="11" t="n">
        <f aca="false">(W91-$Q$79)*34%</f>
        <v>1151.03973456</v>
      </c>
      <c r="Y91" s="11" t="n">
        <f aca="false">(W91-$O$97)*34%</f>
        <v>1051.13016537644</v>
      </c>
    </row>
    <row r="92" customFormat="false" ht="15" hidden="false" customHeight="true" outlineLevel="0" collapsed="false">
      <c r="D92" s="1" t="s">
        <v>56</v>
      </c>
      <c r="E92" s="17" t="n">
        <f aca="false">F80</f>
        <v>0.431</v>
      </c>
      <c r="F92" s="92" t="n">
        <f aca="false">-E89</f>
        <v>-0.131</v>
      </c>
      <c r="G92" s="93" t="n">
        <f aca="false">SUM(E92:F92)</f>
        <v>0.3</v>
      </c>
      <c r="H92" s="17" t="n">
        <f aca="false">F92</f>
        <v>-0.131</v>
      </c>
      <c r="I92" s="17" t="n">
        <f aca="false">$E$71/2*-1</f>
        <v>-0.069</v>
      </c>
      <c r="J92" s="17"/>
      <c r="K92" s="94" t="n">
        <f aca="false">SUM(H92:I92)</f>
        <v>-0.2</v>
      </c>
      <c r="N92" s="95" t="s">
        <v>82</v>
      </c>
      <c r="O92" s="96" t="n">
        <f aca="false">O90-O91</f>
        <v>5132.887</v>
      </c>
      <c r="W92" s="11" t="n">
        <v>5000</v>
      </c>
      <c r="X92" s="11" t="n">
        <f aca="false">(W92-$Q$79)*34%</f>
        <v>1636.25829056</v>
      </c>
      <c r="Y92" s="11" t="n">
        <f aca="false">(W92-$O$97)*34%</f>
        <v>1536.34872137644</v>
      </c>
    </row>
    <row r="93" customFormat="false" ht="15" hidden="false" customHeight="true" outlineLevel="0" collapsed="false">
      <c r="D93" s="1" t="s">
        <v>5</v>
      </c>
      <c r="E93" s="17" t="n">
        <f aca="false">F81</f>
        <v>0.431</v>
      </c>
      <c r="F93" s="92" t="n">
        <f aca="false">-E89</f>
        <v>-0.131</v>
      </c>
      <c r="G93" s="93" t="n">
        <f aca="false">SUM(E93:F93)</f>
        <v>0.3</v>
      </c>
      <c r="H93" s="17" t="n">
        <f aca="false">F93</f>
        <v>-0.131</v>
      </c>
      <c r="I93" s="17" t="n">
        <f aca="false">$E$71/2*-1</f>
        <v>-0.069</v>
      </c>
      <c r="J93" s="17"/>
      <c r="K93" s="94" t="n">
        <f aca="false">SUM(H93:I93)</f>
        <v>-0.2</v>
      </c>
      <c r="Q93" s="11" t="n">
        <f aca="false">O97-31</f>
        <v>450.327290069284</v>
      </c>
    </row>
    <row r="94" customFormat="false" ht="15.75" hidden="false" customHeight="true" outlineLevel="0" collapsed="false">
      <c r="D94" s="1" t="s">
        <v>62</v>
      </c>
      <c r="E94" s="17" t="n">
        <f aca="false">F82</f>
        <v>0.138</v>
      </c>
      <c r="F94" s="92" t="n">
        <f aca="false">-F92-F93</f>
        <v>0.262</v>
      </c>
      <c r="G94" s="93" t="n">
        <f aca="false">SUM(E94:F94)</f>
        <v>0.4</v>
      </c>
      <c r="H94" s="25" t="n">
        <f aca="false">SUM(H92:H93)</f>
        <v>-0.262</v>
      </c>
      <c r="I94" s="25" t="n">
        <f aca="false">SUM(I92:I93)</f>
        <v>-0.138</v>
      </c>
      <c r="J94" s="25"/>
      <c r="K94" s="97" t="n">
        <f aca="false">SUM(K92:K93)</f>
        <v>-0.4</v>
      </c>
      <c r="N94" s="43" t="s">
        <v>83</v>
      </c>
    </row>
    <row r="95" customFormat="false" ht="15.75" hidden="false" customHeight="true" outlineLevel="0" collapsed="false">
      <c r="N95" s="47"/>
      <c r="O95" s="48" t="s">
        <v>45</v>
      </c>
      <c r="P95" s="48"/>
      <c r="Q95" s="49"/>
      <c r="R95" s="50"/>
      <c r="S95" s="51"/>
      <c r="T95" s="52"/>
    </row>
    <row r="96" customFormat="false" ht="15" hidden="false" customHeight="true" outlineLevel="0" collapsed="false">
      <c r="E96" s="1" t="s">
        <v>84</v>
      </c>
      <c r="F96" s="1" t="s">
        <v>85</v>
      </c>
      <c r="G96" s="23" t="s">
        <v>86</v>
      </c>
      <c r="H96" s="1" t="s">
        <v>87</v>
      </c>
      <c r="I96" s="16" t="n">
        <v>0.34</v>
      </c>
      <c r="J96" s="16" t="s">
        <v>88</v>
      </c>
      <c r="N96" s="57"/>
      <c r="O96" s="58" t="n">
        <v>0.6</v>
      </c>
      <c r="P96" s="58" t="n">
        <v>1</v>
      </c>
      <c r="T96" s="59"/>
      <c r="V96" s="1" t="s">
        <v>89</v>
      </c>
      <c r="W96" s="11" t="n">
        <f aca="false">-O97</f>
        <v>-481.327290069284</v>
      </c>
    </row>
    <row r="97" customFormat="false" ht="15" hidden="false" customHeight="true" outlineLevel="0" collapsed="false">
      <c r="B97" s="1" t="s">
        <v>56</v>
      </c>
      <c r="D97" s="17" t="n">
        <f aca="false">-($E$87-$E$86)</f>
        <v>-0.262</v>
      </c>
      <c r="E97" s="11" t="n">
        <f aca="false">$G$141/1000/2</f>
        <v>127.016</v>
      </c>
      <c r="F97" s="98" t="n">
        <f aca="false">E97*D97</f>
        <v>-33.278192</v>
      </c>
      <c r="G97" s="1" t="n">
        <v>600</v>
      </c>
      <c r="H97" s="27" t="n">
        <f aca="false">G97+F97</f>
        <v>566.721808</v>
      </c>
      <c r="I97" s="98" t="n">
        <f aca="false">H97*I96</f>
        <v>192.68541472</v>
      </c>
      <c r="J97" s="27" t="n">
        <f aca="false">G97-I97</f>
        <v>407.31458528</v>
      </c>
      <c r="K97" s="94" t="n">
        <f aca="false">J97/H97</f>
        <v>0.718720507187541</v>
      </c>
      <c r="N97" s="57" t="s">
        <v>90</v>
      </c>
      <c r="O97" s="11" t="n">
        <f aca="false">(O80+O79)*O96</f>
        <v>481.327290069284</v>
      </c>
      <c r="P97" s="11" t="n">
        <f aca="false">(O80+O79)</f>
        <v>802.212150115474</v>
      </c>
      <c r="Q97" s="11"/>
      <c r="R97" s="11"/>
      <c r="T97" s="59"/>
      <c r="W97" s="68" t="n">
        <f aca="false">-O99</f>
        <v>-3091.55930993072</v>
      </c>
      <c r="X97" s="11" t="n">
        <f aca="false">W98+W96</f>
        <v>518.672709930716</v>
      </c>
      <c r="Y97" s="1" t="s">
        <v>91</v>
      </c>
    </row>
    <row r="98" customFormat="false" ht="15" hidden="false" customHeight="true" outlineLevel="0" collapsed="false">
      <c r="B98" s="1" t="s">
        <v>5</v>
      </c>
      <c r="D98" s="17" t="n">
        <f aca="false">D97</f>
        <v>-0.262</v>
      </c>
      <c r="E98" s="11" t="n">
        <f aca="false">E97</f>
        <v>127.016</v>
      </c>
      <c r="F98" s="98" t="n">
        <f aca="false">E98*D98</f>
        <v>-33.278192</v>
      </c>
      <c r="G98" s="1" t="n">
        <f aca="false">G97</f>
        <v>600</v>
      </c>
      <c r="H98" s="27" t="n">
        <f aca="false">G98+F98</f>
        <v>566.721808</v>
      </c>
      <c r="I98" s="98" t="n">
        <f aca="false">H98*I96</f>
        <v>192.68541472</v>
      </c>
      <c r="J98" s="27" t="n">
        <f aca="false">G98-I98</f>
        <v>407.31458528</v>
      </c>
      <c r="K98" s="94" t="n">
        <f aca="false">J98/H98</f>
        <v>0.718720507187541</v>
      </c>
      <c r="Q98" s="11"/>
      <c r="R98" s="11"/>
      <c r="T98" s="59"/>
      <c r="V98" s="1" t="s">
        <v>92</v>
      </c>
      <c r="W98" s="11" t="n">
        <f aca="false">W78</f>
        <v>1000</v>
      </c>
      <c r="X98" s="10" t="n">
        <f aca="false">X97*34%</f>
        <v>176.348721376443</v>
      </c>
      <c r="Y98" s="1" t="s">
        <v>93</v>
      </c>
    </row>
    <row r="99" customFormat="false" ht="15" hidden="false" customHeight="true" outlineLevel="0" collapsed="false">
      <c r="I99" s="99" t="n">
        <v>0.1</v>
      </c>
      <c r="N99" s="57" t="s">
        <v>94</v>
      </c>
      <c r="O99" s="68" t="n">
        <f aca="false">O90*O96-O97</f>
        <v>3091.55930993072</v>
      </c>
      <c r="P99" s="68" t="n">
        <f aca="false">O90-P97</f>
        <v>5152.59884988453</v>
      </c>
      <c r="Q99" s="11"/>
      <c r="R99" s="11"/>
      <c r="T99" s="59"/>
      <c r="V99" s="3" t="s">
        <v>95</v>
      </c>
      <c r="W99" s="10" t="n">
        <f aca="false">SUM(W96:W98)</f>
        <v>-2572.8866</v>
      </c>
      <c r="X99" s="68" t="n">
        <f aca="false">W101</f>
        <v>1051.13016537644</v>
      </c>
      <c r="Y99" s="1" t="s">
        <v>96</v>
      </c>
    </row>
    <row r="100" customFormat="false" ht="15.75" hidden="false" customHeight="true" outlineLevel="0" collapsed="false">
      <c r="F100" s="27" t="n">
        <f aca="false">F97+F98</f>
        <v>-66.556384</v>
      </c>
      <c r="H100" s="27" t="n">
        <f aca="false">J97</f>
        <v>407.31458528</v>
      </c>
      <c r="I100" s="98" t="n">
        <f aca="false">H100*$I$99</f>
        <v>40.731458528</v>
      </c>
      <c r="J100" s="27" t="n">
        <f aca="false">H100-I100</f>
        <v>366.583126752</v>
      </c>
      <c r="K100" s="94" t="n">
        <f aca="false">J100/G97</f>
        <v>0.61097187792</v>
      </c>
      <c r="N100" s="74" t="s">
        <v>65</v>
      </c>
      <c r="O100" s="75" t="n">
        <f aca="false">SUM(O97:O99)</f>
        <v>3572.8866</v>
      </c>
      <c r="P100" s="75" t="n">
        <f aca="false">SUM(P97:P99)</f>
        <v>5954.811</v>
      </c>
      <c r="Q100" s="75"/>
      <c r="R100" s="75"/>
      <c r="S100" s="76"/>
      <c r="T100" s="77"/>
      <c r="V100" s="100" t="s">
        <v>97</v>
      </c>
      <c r="W100" s="11" t="n">
        <f aca="false">W99*34%</f>
        <v>-874.781444</v>
      </c>
      <c r="X100" s="11" t="n">
        <f aca="false">X98+X99</f>
        <v>1227.47888675289</v>
      </c>
    </row>
    <row r="101" customFormat="false" ht="15" hidden="false" customHeight="true" outlineLevel="0" collapsed="false">
      <c r="H101" s="27" t="n">
        <f aca="false">J98</f>
        <v>407.31458528</v>
      </c>
      <c r="I101" s="98" t="n">
        <f aca="false">H101*$I$99</f>
        <v>40.731458528</v>
      </c>
      <c r="J101" s="27" t="n">
        <f aca="false">H101-I101</f>
        <v>366.583126752</v>
      </c>
      <c r="K101" s="94" t="n">
        <f aca="false">J101/G98</f>
        <v>0.61097187792</v>
      </c>
      <c r="V101" s="22" t="s">
        <v>96</v>
      </c>
      <c r="W101" s="68" t="n">
        <f aca="false">-W97*34%</f>
        <v>1051.13016537644</v>
      </c>
    </row>
    <row r="102" customFormat="false" ht="15" hidden="false" customHeight="true" outlineLevel="0" collapsed="false">
      <c r="H102" s="27"/>
      <c r="I102" s="27"/>
      <c r="J102" s="27"/>
      <c r="K102" s="94"/>
      <c r="W102" s="101" t="n">
        <f aca="false">W100+W101</f>
        <v>176.348721376443</v>
      </c>
    </row>
    <row r="103" customFormat="false" ht="15" hidden="false" customHeight="true" outlineLevel="0" collapsed="false">
      <c r="H103" s="27"/>
      <c r="I103" s="27"/>
      <c r="J103" s="27"/>
      <c r="K103" s="94"/>
    </row>
    <row r="104" customFormat="false" ht="15" hidden="false" customHeight="true" outlineLevel="0" collapsed="false">
      <c r="H104" s="27"/>
      <c r="I104" s="27"/>
      <c r="J104" s="27"/>
      <c r="K104" s="94"/>
    </row>
    <row r="105" customFormat="false" ht="15" hidden="false" customHeight="true" outlineLevel="0" collapsed="false">
      <c r="H105" s="27"/>
      <c r="I105" s="27"/>
      <c r="J105" s="27"/>
      <c r="K105" s="94"/>
    </row>
    <row r="111" s="102" customFormat="true" ht="8.25" hidden="false" customHeight="true" outlineLevel="0" collapsed="false">
      <c r="P111" s="103"/>
    </row>
    <row r="113" customFormat="false" ht="15" hidden="false" customHeight="true" outlineLevel="0" collapsed="false">
      <c r="H113" s="14" t="s">
        <v>98</v>
      </c>
      <c r="I113" s="14" t="s">
        <v>99</v>
      </c>
    </row>
    <row r="114" customFormat="false" ht="15.75" hidden="false" customHeight="true" outlineLevel="0" collapsed="false">
      <c r="G114" s="1" t="s">
        <v>100</v>
      </c>
      <c r="H114" s="104" t="n">
        <f aca="false">J100</f>
        <v>366.583126752</v>
      </c>
      <c r="I114" s="104" t="n">
        <f aca="false">J97</f>
        <v>407.31458528</v>
      </c>
    </row>
    <row r="115" customFormat="false" ht="15.75" hidden="false" customHeight="true" outlineLevel="0" collapsed="false">
      <c r="G115" s="16" t="n">
        <v>0.12</v>
      </c>
    </row>
    <row r="116" customFormat="false" ht="15" hidden="false" customHeight="true" outlineLevel="0" collapsed="false">
      <c r="G116" s="1" t="n">
        <v>100</v>
      </c>
      <c r="I116" s="27" t="n">
        <f aca="false">I114*(1+G115*1)-I114</f>
        <v>48.8777502336</v>
      </c>
    </row>
    <row r="117" customFormat="false" ht="15" hidden="false" customHeight="true" outlineLevel="0" collapsed="false">
      <c r="G117" s="1" t="n">
        <v>105</v>
      </c>
      <c r="H117" s="78" t="n">
        <f aca="false">((H114*(1+G115)*1.05))-H114</f>
        <v>64.518630308352</v>
      </c>
      <c r="I117" s="73"/>
    </row>
    <row r="118" customFormat="false" ht="15" hidden="false" customHeight="true" outlineLevel="0" collapsed="false">
      <c r="H118" s="27" t="n">
        <f aca="false">SUM(H115:H117)</f>
        <v>64.518630308352</v>
      </c>
      <c r="I118" s="27" t="n">
        <f aca="false">SUM(I115:I117)</f>
        <v>48.8777502336</v>
      </c>
    </row>
    <row r="119" customFormat="false" ht="15" hidden="false" customHeight="true" outlineLevel="0" collapsed="false">
      <c r="F119" s="1" t="s">
        <v>101</v>
      </c>
      <c r="G119" s="16" t="n">
        <v>0.34</v>
      </c>
      <c r="H119" s="27"/>
      <c r="I119" s="27" t="n">
        <f aca="false">-I118*G119</f>
        <v>-16.618435079424</v>
      </c>
    </row>
    <row r="120" customFormat="false" ht="15" hidden="false" customHeight="true" outlineLevel="0" collapsed="false">
      <c r="G120" s="16" t="n">
        <v>0.27</v>
      </c>
      <c r="H120" s="78" t="n">
        <f aca="false">-H118*G120</f>
        <v>-17.4200301832551</v>
      </c>
      <c r="I120" s="78"/>
    </row>
    <row r="121" customFormat="false" ht="15" hidden="false" customHeight="true" outlineLevel="0" collapsed="false">
      <c r="H121" s="27" t="n">
        <f aca="false">SUM(H118:H120)</f>
        <v>47.098600125097</v>
      </c>
      <c r="I121" s="27" t="n">
        <f aca="false">SUM(I118:I120)</f>
        <v>32.259315154176</v>
      </c>
    </row>
    <row r="122" customFormat="false" ht="15" hidden="false" customHeight="true" outlineLevel="0" collapsed="false">
      <c r="G122" s="1" t="s">
        <v>102</v>
      </c>
    </row>
    <row r="123" customFormat="false" ht="15" hidden="false" customHeight="true" outlineLevel="0" collapsed="false">
      <c r="G123" s="1" t="n">
        <v>1</v>
      </c>
      <c r="H123" s="27" t="n">
        <f aca="false">H114+H121</f>
        <v>413.681726877097</v>
      </c>
      <c r="I123" s="27" t="n">
        <f aca="false">I114+I121</f>
        <v>439.573900434176</v>
      </c>
    </row>
    <row r="126" customFormat="false" ht="15" hidden="false" customHeight="true" outlineLevel="0" collapsed="false">
      <c r="H126" s="14" t="s">
        <v>98</v>
      </c>
      <c r="I126" s="14" t="s">
        <v>99</v>
      </c>
    </row>
    <row r="127" customFormat="false" ht="15.75" hidden="false" customHeight="true" outlineLevel="0" collapsed="false">
      <c r="G127" s="1" t="s">
        <v>100</v>
      </c>
      <c r="H127" s="104" t="n">
        <f aca="false">H123</f>
        <v>413.681726877097</v>
      </c>
      <c r="I127" s="104" t="n">
        <f aca="false">I123</f>
        <v>439.573900434176</v>
      </c>
    </row>
    <row r="128" customFormat="false" ht="15.75" hidden="false" customHeight="true" outlineLevel="0" collapsed="false">
      <c r="G128" s="16" t="n">
        <v>0.12</v>
      </c>
    </row>
    <row r="129" customFormat="false" ht="15" hidden="false" customHeight="true" outlineLevel="0" collapsed="false">
      <c r="G129" s="1" t="n">
        <v>100</v>
      </c>
      <c r="I129" s="27" t="n">
        <f aca="false">I127*(1+G128*1)-I127</f>
        <v>52.7488680521012</v>
      </c>
    </row>
    <row r="130" customFormat="false" ht="15" hidden="false" customHeight="true" outlineLevel="0" collapsed="false">
      <c r="G130" s="1" t="n">
        <v>105</v>
      </c>
      <c r="H130" s="78" t="n">
        <f aca="false">((H127*(1+G128)*1.05))-H127</f>
        <v>72.8079839303691</v>
      </c>
      <c r="I130" s="73"/>
    </row>
    <row r="131" customFormat="false" ht="15" hidden="false" customHeight="true" outlineLevel="0" collapsed="false">
      <c r="H131" s="27" t="n">
        <f aca="false">SUM(H128:H130)</f>
        <v>72.8079839303691</v>
      </c>
      <c r="I131" s="27" t="n">
        <f aca="false">SUM(I128:I130)</f>
        <v>52.7488680521012</v>
      </c>
    </row>
    <row r="132" customFormat="false" ht="15" hidden="false" customHeight="true" outlineLevel="0" collapsed="false">
      <c r="G132" s="16" t="n">
        <v>0.34</v>
      </c>
      <c r="H132" s="27"/>
      <c r="I132" s="27" t="n">
        <f aca="false">-I131*G132</f>
        <v>-17.9346151377144</v>
      </c>
    </row>
    <row r="133" customFormat="false" ht="15" hidden="false" customHeight="true" outlineLevel="0" collapsed="false">
      <c r="G133" s="16" t="n">
        <v>0.27</v>
      </c>
      <c r="H133" s="78" t="n">
        <f aca="false">-H131*G133</f>
        <v>-19.6581556611997</v>
      </c>
      <c r="I133" s="78"/>
    </row>
    <row r="134" customFormat="false" ht="15" hidden="false" customHeight="true" outlineLevel="0" collapsed="false">
      <c r="H134" s="27" t="n">
        <f aca="false">SUM(H131:H133)</f>
        <v>53.1498282691695</v>
      </c>
      <c r="I134" s="27" t="n">
        <f aca="false">SUM(I131:I133)</f>
        <v>34.8142529143868</v>
      </c>
    </row>
    <row r="135" customFormat="false" ht="15" hidden="false" customHeight="true" outlineLevel="0" collapsed="false">
      <c r="G135" s="1" t="s">
        <v>102</v>
      </c>
    </row>
    <row r="136" customFormat="false" ht="15" hidden="false" customHeight="true" outlineLevel="0" collapsed="false">
      <c r="G136" s="1" t="n">
        <v>2</v>
      </c>
      <c r="H136" s="27" t="n">
        <f aca="false">H127+H134</f>
        <v>466.831555146266</v>
      </c>
      <c r="I136" s="27" t="n">
        <f aca="false">I127+I134</f>
        <v>474.388153348563</v>
      </c>
    </row>
    <row r="139" customFormat="false" ht="15" hidden="false" customHeight="true" outlineLevel="0" collapsed="false">
      <c r="D139" s="105" t="s">
        <v>103</v>
      </c>
      <c r="E139" s="105"/>
      <c r="F139" s="105"/>
      <c r="G139" s="105"/>
      <c r="H139" s="105"/>
      <c r="I139" s="105"/>
      <c r="J139" s="105"/>
      <c r="K139" s="105"/>
    </row>
    <row r="141" customFormat="false" ht="15" hidden="false" customHeight="true" outlineLevel="0" collapsed="false">
      <c r="D141" s="106" t="s">
        <v>24</v>
      </c>
      <c r="G141" s="107" t="n">
        <v>254032</v>
      </c>
    </row>
    <row r="143" customFormat="false" ht="15" hidden="false" customHeight="true" outlineLevel="0" collapsed="false">
      <c r="D143" s="106" t="s">
        <v>56</v>
      </c>
      <c r="E143" s="108" t="s">
        <v>104</v>
      </c>
      <c r="G143" s="109" t="n">
        <f aca="false">G141/2</f>
        <v>127016</v>
      </c>
      <c r="H143" s="110" t="n">
        <f aca="false">G143/G$145</f>
        <v>0.5</v>
      </c>
    </row>
    <row r="144" customFormat="false" ht="15" hidden="false" customHeight="true" outlineLevel="0" collapsed="false">
      <c r="D144" s="106" t="s">
        <v>5</v>
      </c>
      <c r="E144" s="108" t="s">
        <v>104</v>
      </c>
      <c r="G144" s="111" t="n">
        <f aca="false">G141/2</f>
        <v>127016</v>
      </c>
      <c r="H144" s="110" t="n">
        <f aca="false">G144/G$145</f>
        <v>0.5</v>
      </c>
    </row>
    <row r="145" customFormat="false" ht="15" hidden="false" customHeight="true" outlineLevel="0" collapsed="false">
      <c r="G145" s="109" t="n">
        <f aca="false">G143+G144</f>
        <v>254032</v>
      </c>
    </row>
    <row r="148" customFormat="false" ht="15" hidden="false" customHeight="true" outlineLevel="0" collapsed="false">
      <c r="D148" s="112" t="s">
        <v>105</v>
      </c>
    </row>
    <row r="150" customFormat="false" ht="15" hidden="false" customHeight="true" outlineLevel="0" collapsed="false">
      <c r="D150" s="106" t="s">
        <v>24</v>
      </c>
      <c r="G150" s="107" t="n">
        <v>5132887</v>
      </c>
      <c r="H150" s="110" t="n">
        <f aca="false">G150/G$152</f>
        <v>0.86197311719885</v>
      </c>
    </row>
    <row r="151" customFormat="false" ht="15" hidden="false" customHeight="true" outlineLevel="0" collapsed="false">
      <c r="D151" s="106" t="s">
        <v>1</v>
      </c>
      <c r="G151" s="113" t="n">
        <v>821924</v>
      </c>
      <c r="H151" s="114" t="n">
        <f aca="false">G151/G$152</f>
        <v>0.13802688280115</v>
      </c>
    </row>
    <row r="152" customFormat="false" ht="15" hidden="false" customHeight="true" outlineLevel="0" collapsed="false">
      <c r="G152" s="109" t="n">
        <f aca="false">G150+G151</f>
        <v>5954811</v>
      </c>
      <c r="H152" s="110" t="n">
        <f aca="false">G152/G152</f>
        <v>1</v>
      </c>
      <c r="I152" s="106" t="s">
        <v>106</v>
      </c>
    </row>
    <row r="154" customFormat="false" ht="15" hidden="false" customHeight="true" outlineLevel="0" collapsed="false">
      <c r="F154" s="115" t="n">
        <f aca="false">G152</f>
        <v>5954811</v>
      </c>
      <c r="G154" s="116"/>
      <c r="H154" s="117"/>
    </row>
    <row r="155" customFormat="false" ht="15" hidden="false" customHeight="true" outlineLevel="0" collapsed="false">
      <c r="F155" s="118"/>
      <c r="H155" s="119"/>
    </row>
    <row r="156" customFormat="false" ht="15" hidden="false" customHeight="true" outlineLevel="0" collapsed="false">
      <c r="F156" s="120" t="s">
        <v>6</v>
      </c>
      <c r="H156" s="121" t="s">
        <v>1</v>
      </c>
    </row>
    <row r="157" customFormat="false" ht="15" hidden="false" customHeight="true" outlineLevel="0" collapsed="false">
      <c r="F157" s="122" t="n">
        <v>0.6</v>
      </c>
      <c r="G157" s="73"/>
      <c r="H157" s="123" t="n">
        <f aca="false">1-F157</f>
        <v>0.4</v>
      </c>
    </row>
    <row r="158" customFormat="false" ht="15" hidden="false" customHeight="true" outlineLevel="0" collapsed="false">
      <c r="F158" s="124" t="n">
        <f aca="false">$G$152*F157</f>
        <v>3572886.6</v>
      </c>
      <c r="G158" s="125"/>
      <c r="H158" s="126" t="n">
        <f aca="false">$G$152*H157</f>
        <v>2381924.4</v>
      </c>
    </row>
    <row r="159" customFormat="false" ht="15" hidden="false" customHeight="true" outlineLevel="0" collapsed="false">
      <c r="F159" s="127" t="n">
        <f aca="false">$I$96</f>
        <v>0.34</v>
      </c>
      <c r="H159" s="128" t="n">
        <f aca="false">$I$96</f>
        <v>0.34</v>
      </c>
    </row>
    <row r="160" customFormat="false" ht="15" hidden="false" customHeight="true" outlineLevel="0" collapsed="false">
      <c r="F160" s="129" t="n">
        <f aca="false">F158*F159</f>
        <v>1214781.444</v>
      </c>
      <c r="G160" s="130"/>
      <c r="H160" s="131" t="n">
        <f aca="false">H158*H159</f>
        <v>809854.296</v>
      </c>
    </row>
    <row r="163" customFormat="false" ht="15" hidden="false" customHeight="true" outlineLevel="0" collapsed="false">
      <c r="D163" s="105" t="s">
        <v>107</v>
      </c>
      <c r="E163" s="105"/>
      <c r="F163" s="105"/>
      <c r="G163" s="105"/>
      <c r="H163" s="105"/>
      <c r="I163" s="105"/>
      <c r="J163" s="105"/>
      <c r="K163" s="105"/>
    </row>
    <row r="164" customFormat="false" ht="15" hidden="false" customHeight="true" outlineLevel="0" collapsed="false">
      <c r="J164" s="132" t="s">
        <v>108</v>
      </c>
    </row>
    <row r="165" customFormat="false" ht="15" hidden="false" customHeight="true" outlineLevel="0" collapsed="false">
      <c r="D165" s="106" t="s">
        <v>109</v>
      </c>
      <c r="G165" s="109" t="n">
        <f aca="false">-J165*$E$88</f>
        <v>-66556.384</v>
      </c>
      <c r="H165" s="106" t="s">
        <v>110</v>
      </c>
      <c r="J165" s="109" t="n">
        <f aca="false">G141</f>
        <v>254032</v>
      </c>
    </row>
    <row r="166" customFormat="false" ht="15" hidden="false" customHeight="true" outlineLevel="0" collapsed="false">
      <c r="D166" s="106" t="s">
        <v>74</v>
      </c>
      <c r="G166" s="113" t="n">
        <v>1200000</v>
      </c>
    </row>
    <row r="167" customFormat="false" ht="15" hidden="false" customHeight="true" outlineLevel="0" collapsed="false">
      <c r="D167" s="106" t="s">
        <v>111</v>
      </c>
      <c r="G167" s="109" t="n">
        <f aca="false">G166+G165</f>
        <v>1133443.616</v>
      </c>
    </row>
    <row r="168" customFormat="false" ht="15" hidden="false" customHeight="true" outlineLevel="0" collapsed="false">
      <c r="D168" s="106" t="s">
        <v>112</v>
      </c>
      <c r="G168" s="114" t="n">
        <f aca="false">$I$96</f>
        <v>0.34</v>
      </c>
    </row>
    <row r="169" customFormat="false" ht="15" hidden="false" customHeight="true" outlineLevel="0" collapsed="false">
      <c r="D169" s="112" t="s">
        <v>113</v>
      </c>
      <c r="G169" s="133" t="n">
        <f aca="false">G167*G168</f>
        <v>385370.82944</v>
      </c>
      <c r="H169" s="134"/>
    </row>
    <row r="171" customFormat="false" ht="15" hidden="false" customHeight="true" outlineLevel="0" collapsed="false">
      <c r="D171" s="108" t="s">
        <v>114</v>
      </c>
    </row>
  </sheetData>
  <mergeCells count="5">
    <mergeCell ref="D4:O4"/>
    <mergeCell ref="G33:I33"/>
    <mergeCell ref="D39:O39"/>
    <mergeCell ref="X76:Y76"/>
    <mergeCell ref="Z76:AA7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8"/>
  <sheetViews>
    <sheetView showFormulas="false" showGridLines="true" showRowColHeaders="true" showZeros="true" rightToLeft="false" tabSelected="false" showOutlineSymbols="true" defaultGridColor="true" view="normal" topLeftCell="A9" colorId="64" zoomScale="80" zoomScaleNormal="80" zoomScalePageLayoutView="100" workbookViewId="0">
      <selection pane="topLeft" activeCell="E56" activeCellId="0" sqref="E56"/>
    </sheetView>
  </sheetViews>
  <sheetFormatPr defaultColWidth="8.5390625" defaultRowHeight="15" zeroHeight="false" outlineLevelRow="0" outlineLevelCol="0"/>
  <cols>
    <col collapsed="false" customWidth="true" hidden="false" outlineLevel="0" max="3" min="3" style="1" width="2.57"/>
    <col collapsed="false" customWidth="true" hidden="false" outlineLevel="0" max="4" min="4" style="1" width="22.71"/>
    <col collapsed="false" customWidth="true" hidden="false" outlineLevel="0" max="5" min="5" style="1" width="10.57"/>
    <col collapsed="false" customWidth="true" hidden="false" outlineLevel="0" max="7" min="7" style="1" width="25.86"/>
    <col collapsed="false" customWidth="true" hidden="false" outlineLevel="0" max="8" min="8" style="1" width="10.43"/>
    <col collapsed="false" customWidth="true" hidden="false" outlineLevel="0" max="9" min="9" style="1" width="11.29"/>
    <col collapsed="false" customWidth="true" hidden="false" outlineLevel="0" max="10" min="10" style="1" width="33.29"/>
    <col collapsed="false" customWidth="true" hidden="false" outlineLevel="0" max="11" min="11" style="1" width="12.29"/>
    <col collapsed="false" customWidth="true" hidden="false" outlineLevel="0" max="12" min="12" style="1" width="2.57"/>
    <col collapsed="false" customWidth="true" hidden="false" outlineLevel="0" max="13" min="13" style="1" width="33.29"/>
    <col collapsed="false" customWidth="true" hidden="false" outlineLevel="0" max="14" min="14" style="1" width="16"/>
    <col collapsed="false" customWidth="true" hidden="false" outlineLevel="0" max="15" min="15" style="2" width="9.14"/>
    <col collapsed="false" customWidth="true" hidden="false" outlineLevel="0" max="16" min="16" style="1" width="11.43"/>
  </cols>
  <sheetData>
    <row r="1" customFormat="false" ht="15" hidden="false" customHeight="true" outlineLevel="0" collapsed="false">
      <c r="A1" s="3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</row>
    <row r="4" customFormat="false" ht="15.75" hidden="false" customHeight="true" outlineLevel="0" collapsed="false">
      <c r="D4" s="4" t="s">
        <v>3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8.75" hidden="false" customHeight="true" outlineLevel="0" collapsed="false">
      <c r="D5" s="5" t="s">
        <v>4</v>
      </c>
      <c r="G5" s="5" t="s">
        <v>5</v>
      </c>
      <c r="J5" s="5" t="s">
        <v>6</v>
      </c>
      <c r="M5" s="5" t="s">
        <v>1</v>
      </c>
    </row>
    <row r="7" customFormat="false" ht="15" hidden="false" customHeight="true" outlineLevel="0" collapsed="false">
      <c r="D7" s="6" t="s">
        <v>7</v>
      </c>
      <c r="E7" s="7" t="n">
        <f aca="false">E8+E13</f>
        <v>179.744</v>
      </c>
      <c r="G7" s="6" t="s">
        <v>7</v>
      </c>
      <c r="H7" s="7" t="n">
        <f aca="false">H8+H13</f>
        <v>179.744</v>
      </c>
      <c r="J7" s="6" t="s">
        <v>7</v>
      </c>
      <c r="K7" s="8" t="n">
        <f aca="false">K8+K15</f>
        <v>26138.03</v>
      </c>
      <c r="M7" s="6" t="s">
        <v>7</v>
      </c>
      <c r="N7" s="8" t="n">
        <f aca="false">N8+N15</f>
        <v>17611.435</v>
      </c>
      <c r="O7" s="9"/>
    </row>
    <row r="8" customFormat="false" ht="15" hidden="false" customHeight="true" outlineLevel="0" collapsed="false">
      <c r="D8" s="6" t="s">
        <v>8</v>
      </c>
      <c r="G8" s="6" t="s">
        <v>8</v>
      </c>
      <c r="J8" s="6" t="s">
        <v>8</v>
      </c>
      <c r="K8" s="10" t="n">
        <f aca="false">SUM(K9:K12)</f>
        <v>2323.966</v>
      </c>
      <c r="M8" s="6" t="s">
        <v>8</v>
      </c>
      <c r="N8" s="10" t="n">
        <f aca="false">SUM(N9:N12)</f>
        <v>1300.28</v>
      </c>
    </row>
    <row r="9" customFormat="false" ht="15" hidden="false" customHeight="true" outlineLevel="0" collapsed="false">
      <c r="D9" s="1" t="s">
        <v>9</v>
      </c>
      <c r="G9" s="1" t="s">
        <v>9</v>
      </c>
      <c r="J9" s="1" t="s">
        <v>10</v>
      </c>
      <c r="K9" s="11" t="n">
        <f aca="false">2265.98-1937.402</f>
        <v>328.578</v>
      </c>
      <c r="M9" s="1" t="s">
        <v>10</v>
      </c>
      <c r="N9" s="11" t="n">
        <f aca="false">17231.437-16311.155-17.517-198.838+380-138.693</f>
        <v>945.234000000001</v>
      </c>
    </row>
    <row r="10" customFormat="false" ht="15" hidden="false" customHeight="true" outlineLevel="0" collapsed="false">
      <c r="D10" s="1" t="s">
        <v>11</v>
      </c>
      <c r="G10" s="1" t="s">
        <v>11</v>
      </c>
      <c r="J10" s="1" t="s">
        <v>11</v>
      </c>
      <c r="K10" s="11"/>
      <c r="M10" s="1" t="s">
        <v>11</v>
      </c>
      <c r="N10" s="11"/>
    </row>
    <row r="11" customFormat="false" ht="15" hidden="false" customHeight="true" outlineLevel="0" collapsed="false">
      <c r="J11" s="1" t="s">
        <v>12</v>
      </c>
      <c r="K11" s="11" t="n">
        <v>1937.402</v>
      </c>
      <c r="M11" s="1" t="s">
        <v>12</v>
      </c>
      <c r="N11" s="11" t="n">
        <f aca="false">17.517+198.836</f>
        <v>216.353</v>
      </c>
    </row>
    <row r="12" customFormat="false" ht="15" hidden="false" customHeight="true" outlineLevel="0" collapsed="false">
      <c r="D12" s="1" t="s">
        <v>13</v>
      </c>
      <c r="G12" s="1" t="s">
        <v>13</v>
      </c>
      <c r="J12" s="1" t="s">
        <v>13</v>
      </c>
      <c r="K12" s="11" t="n">
        <v>57.986</v>
      </c>
      <c r="M12" s="1" t="s">
        <v>13</v>
      </c>
      <c r="N12" s="11" t="n">
        <v>138.693</v>
      </c>
    </row>
    <row r="13" customFormat="false" ht="15" hidden="false" customHeight="true" outlineLevel="0" collapsed="false">
      <c r="D13" s="6" t="s">
        <v>8</v>
      </c>
      <c r="E13" s="10" t="n">
        <f aca="false">SUM(E14)</f>
        <v>179.744</v>
      </c>
      <c r="G13" s="6" t="s">
        <v>8</v>
      </c>
      <c r="H13" s="10" t="n">
        <f aca="false">SUM(H14)</f>
        <v>179.744</v>
      </c>
      <c r="J13" s="6"/>
      <c r="K13" s="11"/>
      <c r="M13" s="6"/>
      <c r="N13" s="11"/>
    </row>
    <row r="14" customFormat="false" ht="15" hidden="false" customHeight="true" outlineLevel="0" collapsed="false">
      <c r="D14" s="1" t="s">
        <v>14</v>
      </c>
      <c r="E14" s="13" t="n">
        <f aca="false">K27/2</f>
        <v>179.744</v>
      </c>
      <c r="G14" s="1" t="s">
        <v>14</v>
      </c>
      <c r="H14" s="13" t="n">
        <f aca="false">K27/2</f>
        <v>179.744</v>
      </c>
      <c r="K14" s="11"/>
      <c r="N14" s="11"/>
    </row>
    <row r="15" customFormat="false" ht="15" hidden="false" customHeight="true" outlineLevel="0" collapsed="false">
      <c r="D15" s="6"/>
      <c r="G15" s="6"/>
      <c r="J15" s="6" t="s">
        <v>15</v>
      </c>
      <c r="K15" s="10" t="n">
        <v>23814.064</v>
      </c>
      <c r="M15" s="6" t="s">
        <v>15</v>
      </c>
      <c r="N15" s="10" t="n">
        <v>16311.155</v>
      </c>
    </row>
    <row r="16" customFormat="false" ht="15" hidden="false" customHeight="true" outlineLevel="0" collapsed="false">
      <c r="K16" s="11"/>
      <c r="N16" s="11"/>
    </row>
    <row r="17" customFormat="false" ht="15" hidden="false" customHeight="true" outlineLevel="0" collapsed="false">
      <c r="K17" s="11"/>
      <c r="N17" s="11"/>
    </row>
    <row r="18" customFormat="false" ht="15" hidden="false" customHeight="true" outlineLevel="0" collapsed="false">
      <c r="D18" s="6" t="s">
        <v>16</v>
      </c>
      <c r="E18" s="3" t="n">
        <f aca="false">E19+E27</f>
        <v>179.744</v>
      </c>
      <c r="G18" s="6" t="s">
        <v>16</v>
      </c>
      <c r="H18" s="3" t="n">
        <f aca="false">H19+H27</f>
        <v>179.744</v>
      </c>
      <c r="J18" s="6" t="s">
        <v>16</v>
      </c>
      <c r="K18" s="8" t="n">
        <f aca="false">K19+K27</f>
        <v>26138.37</v>
      </c>
      <c r="M18" s="6" t="s">
        <v>16</v>
      </c>
      <c r="N18" s="8" t="n">
        <f aca="false">N19+N27</f>
        <v>17610.591</v>
      </c>
      <c r="O18" s="9"/>
    </row>
    <row r="19" customFormat="false" ht="15" hidden="false" customHeight="true" outlineLevel="0" collapsed="false">
      <c r="D19" s="6" t="s">
        <v>17</v>
      </c>
      <c r="E19" s="3" t="n">
        <f aca="false">E20</f>
        <v>0</v>
      </c>
      <c r="G19" s="6" t="s">
        <v>17</v>
      </c>
      <c r="H19" s="1" t="n">
        <f aca="false">H20</f>
        <v>0</v>
      </c>
      <c r="J19" s="6" t="s">
        <v>17</v>
      </c>
      <c r="K19" s="10" t="n">
        <f aca="false">K20+K24</f>
        <v>25778.882</v>
      </c>
      <c r="M19" s="6" t="s">
        <v>17</v>
      </c>
      <c r="N19" s="10" t="n">
        <f aca="false">N20+N24</f>
        <v>16771.856</v>
      </c>
    </row>
    <row r="20" customFormat="false" ht="15" hidden="false" customHeight="true" outlineLevel="0" collapsed="false">
      <c r="D20" s="6" t="s">
        <v>8</v>
      </c>
      <c r="E20" s="1" t="n">
        <f aca="false">SUM(E21:E22)</f>
        <v>0</v>
      </c>
      <c r="G20" s="6" t="s">
        <v>8</v>
      </c>
      <c r="H20" s="1" t="n">
        <f aca="false">H21</f>
        <v>0</v>
      </c>
      <c r="J20" s="6" t="s">
        <v>8</v>
      </c>
      <c r="K20" s="10" t="n">
        <f aca="false">SUM(K21:K22)</f>
        <v>1964.818</v>
      </c>
      <c r="M20" s="6" t="s">
        <v>8</v>
      </c>
      <c r="N20" s="10" t="n">
        <f aca="false">SUM(N21:N22)</f>
        <v>460.701000000002</v>
      </c>
    </row>
    <row r="21" customFormat="false" ht="15" hidden="false" customHeight="true" outlineLevel="0" collapsed="false">
      <c r="D21" s="1" t="s">
        <v>9</v>
      </c>
      <c r="G21" s="1" t="s">
        <v>9</v>
      </c>
      <c r="J21" s="1" t="s">
        <v>9</v>
      </c>
      <c r="K21" s="11" t="n">
        <f aca="false">1964.818-1544.758</f>
        <v>420.06</v>
      </c>
      <c r="M21" s="1" t="s">
        <v>9</v>
      </c>
      <c r="N21" s="11" t="n">
        <f aca="false">17231.437-16311-227.944-458.736-1</f>
        <v>232.757000000002</v>
      </c>
    </row>
    <row r="22" customFormat="false" ht="15" hidden="false" customHeight="true" outlineLevel="0" collapsed="false">
      <c r="J22" s="1" t="s">
        <v>12</v>
      </c>
      <c r="K22" s="11" t="n">
        <v>1544.758</v>
      </c>
      <c r="M22" s="1" t="s">
        <v>12</v>
      </c>
      <c r="N22" s="11" t="n">
        <v>227.944</v>
      </c>
    </row>
    <row r="23" customFormat="false" ht="15" hidden="false" customHeight="true" outlineLevel="0" collapsed="false">
      <c r="K23" s="11"/>
      <c r="N23" s="11"/>
    </row>
    <row r="24" customFormat="false" ht="15.75" hidden="false" customHeight="true" outlineLevel="0" collapsed="false">
      <c r="D24" s="6"/>
      <c r="G24" s="6"/>
      <c r="J24" s="6" t="s">
        <v>15</v>
      </c>
      <c r="K24" s="10" t="n">
        <f aca="false">K15</f>
        <v>23814.064</v>
      </c>
      <c r="M24" s="6" t="s">
        <v>15</v>
      </c>
      <c r="N24" s="10" t="n">
        <f aca="false">N15</f>
        <v>16311.155</v>
      </c>
      <c r="P24" s="14" t="s">
        <v>115</v>
      </c>
    </row>
    <row r="25" customFormat="false" ht="15" hidden="false" customHeight="true" outlineLevel="0" collapsed="false">
      <c r="K25" s="11"/>
      <c r="N25" s="11"/>
      <c r="O25" s="135" t="s">
        <v>116</v>
      </c>
      <c r="P25" s="16" t="n">
        <v>0.34</v>
      </c>
    </row>
    <row r="26" customFormat="false" ht="15.75" hidden="false" customHeight="true" outlineLevel="0" collapsed="false">
      <c r="J26" s="17" t="n">
        <f aca="false">H71</f>
        <v>0.138</v>
      </c>
      <c r="K26" s="11" t="n">
        <f aca="false">K27*J26</f>
        <v>49.609344</v>
      </c>
      <c r="N26" s="11" t="n">
        <f aca="false">N27-K26</f>
        <v>789.125656</v>
      </c>
      <c r="O26" s="136" t="n">
        <f aca="false">N26</f>
        <v>789.125656</v>
      </c>
      <c r="P26" s="11" t="n">
        <f aca="false">O26*P25</f>
        <v>268.30272304</v>
      </c>
    </row>
    <row r="27" customFormat="false" ht="15" hidden="false" customHeight="true" outlineLevel="0" collapsed="false">
      <c r="D27" s="6" t="s">
        <v>19</v>
      </c>
      <c r="E27" s="19" t="n">
        <f aca="false">SUM(E28:E30)</f>
        <v>179.744</v>
      </c>
      <c r="G27" s="6" t="s">
        <v>19</v>
      </c>
      <c r="H27" s="19" t="n">
        <f aca="false">SUM(H28:H30)</f>
        <v>179.744</v>
      </c>
      <c r="J27" s="6" t="s">
        <v>19</v>
      </c>
      <c r="K27" s="18" t="n">
        <f aca="false">SUM(K28:K29)</f>
        <v>359.488</v>
      </c>
      <c r="M27" s="6" t="s">
        <v>19</v>
      </c>
      <c r="N27" s="20" t="n">
        <f aca="false">SUM(N28:N29)</f>
        <v>838.735</v>
      </c>
    </row>
    <row r="28" customFormat="false" ht="15" hidden="false" customHeight="true" outlineLevel="0" collapsed="false">
      <c r="D28" s="1" t="s">
        <v>20</v>
      </c>
      <c r="E28" s="11" t="n">
        <f aca="false">E14</f>
        <v>179.744</v>
      </c>
      <c r="G28" s="1" t="s">
        <v>20</v>
      </c>
      <c r="H28" s="11" t="n">
        <f aca="false">H14</f>
        <v>179.744</v>
      </c>
      <c r="J28" s="1" t="s">
        <v>20</v>
      </c>
      <c r="K28" s="11" t="n">
        <v>85</v>
      </c>
      <c r="M28" s="1" t="s">
        <v>20</v>
      </c>
      <c r="N28" s="11" t="n">
        <f aca="false">139+380</f>
        <v>519</v>
      </c>
    </row>
    <row r="29" customFormat="false" ht="15" hidden="false" customHeight="true" outlineLevel="0" collapsed="false">
      <c r="D29" s="1" t="s">
        <v>21</v>
      </c>
      <c r="G29" s="1" t="s">
        <v>21</v>
      </c>
      <c r="J29" s="1" t="s">
        <v>21</v>
      </c>
      <c r="K29" s="11" t="n">
        <f aca="false">268.488+6</f>
        <v>274.488</v>
      </c>
      <c r="M29" s="1" t="s">
        <v>21</v>
      </c>
      <c r="N29" s="11" t="n">
        <f aca="false">251.958+67.777</f>
        <v>319.735</v>
      </c>
    </row>
    <row r="30" customFormat="false" ht="15" hidden="false" customHeight="true" outlineLevel="0" collapsed="false">
      <c r="D30" s="1" t="s">
        <v>22</v>
      </c>
      <c r="G30" s="1" t="s">
        <v>22</v>
      </c>
      <c r="J30" s="1" t="s">
        <v>22</v>
      </c>
      <c r="K30" s="11"/>
      <c r="M30" s="1" t="s">
        <v>22</v>
      </c>
    </row>
    <row r="33" customFormat="false" ht="15.75" hidden="false" customHeight="true" outlineLevel="0" collapsed="false">
      <c r="G33" s="21" t="s">
        <v>117</v>
      </c>
      <c r="H33" s="21"/>
      <c r="I33" s="21"/>
    </row>
    <row r="34" customFormat="false" ht="15" hidden="false" customHeight="true" outlineLevel="0" collapsed="false">
      <c r="G34" s="1" t="s">
        <v>24</v>
      </c>
      <c r="H34" s="11" t="n">
        <f aca="false">K27</f>
        <v>359.488</v>
      </c>
      <c r="I34" s="17" t="n">
        <f aca="false">H34/H$36</f>
        <v>0.300017609409935</v>
      </c>
    </row>
    <row r="35" customFormat="false" ht="15" hidden="false" customHeight="true" outlineLevel="0" collapsed="false">
      <c r="G35" s="1" t="s">
        <v>1</v>
      </c>
      <c r="H35" s="11" t="n">
        <f aca="false">N27</f>
        <v>838.735</v>
      </c>
      <c r="I35" s="17" t="n">
        <f aca="false">H35/H$36</f>
        <v>0.699982390590066</v>
      </c>
      <c r="J35" s="22" t="n">
        <v>13.8</v>
      </c>
    </row>
    <row r="36" customFormat="false" ht="15.75" hidden="false" customHeight="true" outlineLevel="0" collapsed="false">
      <c r="G36" s="23" t="s">
        <v>25</v>
      </c>
      <c r="H36" s="24" t="n">
        <f aca="false">SUM(H34:H35)</f>
        <v>1198.223</v>
      </c>
      <c r="I36" s="25" t="n">
        <f aca="false">H36/H$36</f>
        <v>1</v>
      </c>
    </row>
    <row r="37" customFormat="false" ht="15.75" hidden="false" customHeight="true" outlineLevel="0" collapsed="false"/>
    <row r="39" customFormat="false" ht="15.75" hidden="false" customHeight="true" outlineLevel="0" collapsed="false">
      <c r="D39" s="4" t="s">
        <v>118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8.75" hidden="false" customHeight="true" outlineLevel="0" collapsed="false">
      <c r="D40" s="5" t="s">
        <v>4</v>
      </c>
      <c r="G40" s="5" t="s">
        <v>5</v>
      </c>
      <c r="J40" s="5" t="s">
        <v>6</v>
      </c>
      <c r="M40" s="5" t="s">
        <v>1</v>
      </c>
    </row>
    <row r="41" customFormat="false" ht="15" hidden="false" customHeight="true" outlineLevel="0" collapsed="false">
      <c r="K41" s="11" t="n">
        <f aca="false">K42-K7-N7</f>
        <v>0</v>
      </c>
    </row>
    <row r="42" customFormat="false" ht="15" hidden="false" customHeight="true" outlineLevel="0" collapsed="false">
      <c r="D42" s="6" t="s">
        <v>7</v>
      </c>
      <c r="E42" s="26" t="n">
        <f aca="false">E43+E48</f>
        <v>516.434113</v>
      </c>
      <c r="G42" s="6" t="s">
        <v>7</v>
      </c>
      <c r="H42" s="26" t="n">
        <f aca="false">H43+H48</f>
        <v>516.434113</v>
      </c>
      <c r="J42" s="6" t="s">
        <v>7</v>
      </c>
      <c r="K42" s="10" t="n">
        <f aca="false">K43+K50</f>
        <v>43749.465</v>
      </c>
      <c r="M42" s="6" t="s">
        <v>7</v>
      </c>
      <c r="N42" s="10"/>
    </row>
    <row r="43" customFormat="false" ht="15" hidden="false" customHeight="true" outlineLevel="0" collapsed="false">
      <c r="D43" s="6" t="s">
        <v>8</v>
      </c>
      <c r="G43" s="6" t="s">
        <v>8</v>
      </c>
      <c r="J43" s="6" t="s">
        <v>8</v>
      </c>
      <c r="K43" s="10" t="n">
        <f aca="false">SUM(K44:K47)</f>
        <v>3624.246</v>
      </c>
      <c r="M43" s="6" t="s">
        <v>8</v>
      </c>
      <c r="N43" s="10" t="n">
        <f aca="false">SUM(N44:N46)</f>
        <v>0</v>
      </c>
    </row>
    <row r="44" customFormat="false" ht="15" hidden="false" customHeight="true" outlineLevel="0" collapsed="false">
      <c r="D44" s="1" t="s">
        <v>9</v>
      </c>
      <c r="G44" s="1" t="s">
        <v>9</v>
      </c>
      <c r="J44" s="1" t="s">
        <v>9</v>
      </c>
      <c r="K44" s="11" t="n">
        <f aca="false">K9+N9</f>
        <v>1273.812</v>
      </c>
      <c r="M44" s="1" t="s">
        <v>9</v>
      </c>
      <c r="N44" s="11"/>
    </row>
    <row r="45" customFormat="false" ht="15" hidden="false" customHeight="true" outlineLevel="0" collapsed="false">
      <c r="D45" s="1" t="s">
        <v>11</v>
      </c>
      <c r="G45" s="1" t="s">
        <v>11</v>
      </c>
      <c r="J45" s="1" t="s">
        <v>11</v>
      </c>
      <c r="K45" s="11" t="n">
        <f aca="false">K10+N10</f>
        <v>0</v>
      </c>
      <c r="M45" s="1" t="s">
        <v>11</v>
      </c>
      <c r="N45" s="11"/>
    </row>
    <row r="46" customFormat="false" ht="15" hidden="false" customHeight="true" outlineLevel="0" collapsed="false">
      <c r="J46" s="1" t="s">
        <v>12</v>
      </c>
      <c r="K46" s="11" t="n">
        <f aca="false">K11+N11</f>
        <v>2153.755</v>
      </c>
      <c r="M46" s="1" t="s">
        <v>12</v>
      </c>
      <c r="N46" s="11"/>
    </row>
    <row r="47" customFormat="false" ht="15" hidden="false" customHeight="true" outlineLevel="0" collapsed="false">
      <c r="D47" s="1" t="s">
        <v>13</v>
      </c>
      <c r="G47" s="1" t="s">
        <v>13</v>
      </c>
      <c r="J47" s="1" t="s">
        <v>13</v>
      </c>
      <c r="K47" s="11" t="n">
        <f aca="false">K12+N12</f>
        <v>196.679</v>
      </c>
      <c r="M47" s="1" t="s">
        <v>13</v>
      </c>
      <c r="N47" s="11"/>
    </row>
    <row r="48" customFormat="false" ht="15" hidden="false" customHeight="true" outlineLevel="0" collapsed="false">
      <c r="D48" s="6" t="s">
        <v>8</v>
      </c>
      <c r="E48" s="26" t="n">
        <f aca="false">SUM(E49:E51)</f>
        <v>516.434113</v>
      </c>
      <c r="G48" s="6" t="s">
        <v>8</v>
      </c>
      <c r="H48" s="26" t="n">
        <f aca="false">SUM(H49:H51)</f>
        <v>516.434113</v>
      </c>
      <c r="J48" s="6" t="s">
        <v>8</v>
      </c>
      <c r="K48" s="11"/>
      <c r="M48" s="6" t="s">
        <v>8</v>
      </c>
      <c r="N48" s="11"/>
    </row>
    <row r="49" customFormat="false" ht="15" hidden="false" customHeight="true" outlineLevel="0" collapsed="false">
      <c r="D49" s="1" t="s">
        <v>14</v>
      </c>
      <c r="E49" s="12" t="n">
        <f aca="false">E14</f>
        <v>179.744</v>
      </c>
      <c r="G49" s="1" t="s">
        <v>14</v>
      </c>
      <c r="H49" s="12" t="n">
        <f aca="false">H27</f>
        <v>179.744</v>
      </c>
      <c r="K49" s="11"/>
      <c r="N49" s="11"/>
    </row>
    <row r="50" customFormat="false" ht="15" hidden="false" customHeight="true" outlineLevel="0" collapsed="false">
      <c r="D50" s="1" t="s">
        <v>27</v>
      </c>
      <c r="E50" s="28" t="n">
        <f aca="false">N27/2</f>
        <v>419.3675</v>
      </c>
      <c r="G50" s="1" t="s">
        <v>27</v>
      </c>
      <c r="H50" s="28" t="n">
        <f aca="false">N27/2</f>
        <v>419.3675</v>
      </c>
      <c r="J50" s="6" t="s">
        <v>15</v>
      </c>
      <c r="K50" s="10" t="n">
        <f aca="false">K24+N24</f>
        <v>40125.219</v>
      </c>
      <c r="M50" s="6" t="s">
        <v>15</v>
      </c>
      <c r="N50" s="10"/>
    </row>
    <row r="51" customFormat="false" ht="15" hidden="false" customHeight="true" outlineLevel="0" collapsed="false">
      <c r="D51" s="1" t="s">
        <v>28</v>
      </c>
      <c r="E51" s="29" t="n">
        <f aca="false">E66</f>
        <v>-82.677387</v>
      </c>
      <c r="G51" s="1" t="s">
        <v>28</v>
      </c>
      <c r="H51" s="29" t="n">
        <f aca="false">H66</f>
        <v>-82.677387</v>
      </c>
      <c r="K51" s="11"/>
      <c r="N51" s="11"/>
    </row>
    <row r="52" customFormat="false" ht="15" hidden="false" customHeight="true" outlineLevel="0" collapsed="false">
      <c r="D52" s="30" t="s">
        <v>29</v>
      </c>
      <c r="E52" s="31" t="n">
        <f aca="false">E50+E51</f>
        <v>336.690113</v>
      </c>
      <c r="G52" s="30" t="s">
        <v>29</v>
      </c>
      <c r="H52" s="31" t="n">
        <f aca="false">H50+H51</f>
        <v>336.690113</v>
      </c>
      <c r="K52" s="11"/>
      <c r="N52" s="11"/>
    </row>
    <row r="53" customFormat="false" ht="15" hidden="false" customHeight="true" outlineLevel="0" collapsed="false">
      <c r="D53" s="6" t="s">
        <v>16</v>
      </c>
      <c r="E53" s="3" t="n">
        <f aca="false">E54+E62</f>
        <v>516.434113</v>
      </c>
      <c r="G53" s="6" t="s">
        <v>16</v>
      </c>
      <c r="H53" s="3" t="n">
        <f aca="false">H54+H62</f>
        <v>516.434113</v>
      </c>
      <c r="J53" s="6" t="s">
        <v>16</v>
      </c>
      <c r="K53" s="10" t="n">
        <f aca="false">K54+K62</f>
        <v>43748.961</v>
      </c>
      <c r="M53" s="6" t="s">
        <v>16</v>
      </c>
      <c r="N53" s="10" t="n">
        <f aca="false">N54+N62</f>
        <v>0</v>
      </c>
    </row>
    <row r="54" customFormat="false" ht="15" hidden="false" customHeight="true" outlineLevel="0" collapsed="false">
      <c r="D54" s="6" t="s">
        <v>17</v>
      </c>
      <c r="E54" s="3" t="n">
        <f aca="false">E55</f>
        <v>0</v>
      </c>
      <c r="G54" s="6" t="s">
        <v>17</v>
      </c>
      <c r="H54" s="1" t="n">
        <f aca="false">H55</f>
        <v>0</v>
      </c>
      <c r="J54" s="6" t="s">
        <v>17</v>
      </c>
      <c r="K54" s="10" t="n">
        <f aca="false">K55+K59</f>
        <v>42550.738</v>
      </c>
      <c r="M54" s="6" t="s">
        <v>17</v>
      </c>
      <c r="N54" s="10" t="n">
        <f aca="false">N55+N59</f>
        <v>0</v>
      </c>
    </row>
    <row r="55" customFormat="false" ht="15" hidden="false" customHeight="true" outlineLevel="0" collapsed="false">
      <c r="D55" s="6" t="s">
        <v>8</v>
      </c>
      <c r="E55" s="1" t="n">
        <f aca="false">SUM(E56:E57)</f>
        <v>0</v>
      </c>
      <c r="G55" s="6" t="s">
        <v>8</v>
      </c>
      <c r="H55" s="1" t="n">
        <f aca="false">H56</f>
        <v>0</v>
      </c>
      <c r="J55" s="6" t="s">
        <v>8</v>
      </c>
      <c r="K55" s="10" t="n">
        <f aca="false">SUM(K56:K57)</f>
        <v>2425.519</v>
      </c>
      <c r="M55" s="6" t="s">
        <v>8</v>
      </c>
      <c r="N55" s="10" t="n">
        <f aca="false">SUM(N56:N57)</f>
        <v>0</v>
      </c>
    </row>
    <row r="56" customFormat="false" ht="15" hidden="false" customHeight="true" outlineLevel="0" collapsed="false">
      <c r="D56" s="1" t="s">
        <v>9</v>
      </c>
      <c r="G56" s="1" t="s">
        <v>9</v>
      </c>
      <c r="J56" s="1" t="s">
        <v>9</v>
      </c>
      <c r="K56" s="11" t="n">
        <f aca="false">K21+N21</f>
        <v>652.817000000002</v>
      </c>
      <c r="M56" s="1" t="s">
        <v>9</v>
      </c>
      <c r="N56" s="11"/>
    </row>
    <row r="57" customFormat="false" ht="15" hidden="false" customHeight="true" outlineLevel="0" collapsed="false">
      <c r="J57" s="1" t="s">
        <v>12</v>
      </c>
      <c r="K57" s="11" t="n">
        <f aca="false">K22+N22</f>
        <v>1772.702</v>
      </c>
      <c r="M57" s="1" t="s">
        <v>12</v>
      </c>
      <c r="N57" s="11"/>
    </row>
    <row r="58" customFormat="false" ht="15" hidden="false" customHeight="true" outlineLevel="0" collapsed="false">
      <c r="K58" s="11"/>
      <c r="N58" s="11"/>
    </row>
    <row r="59" customFormat="false" ht="15" hidden="false" customHeight="true" outlineLevel="0" collapsed="false">
      <c r="D59" s="6"/>
      <c r="G59" s="6"/>
      <c r="J59" s="6" t="s">
        <v>15</v>
      </c>
      <c r="K59" s="10" t="n">
        <f aca="false">K24+N24</f>
        <v>40125.219</v>
      </c>
      <c r="M59" s="6" t="s">
        <v>15</v>
      </c>
      <c r="N59" s="10"/>
    </row>
    <row r="60" customFormat="false" ht="15" hidden="false" customHeight="true" outlineLevel="0" collapsed="false">
      <c r="K60" s="11"/>
      <c r="N60" s="11"/>
    </row>
    <row r="61" customFormat="false" ht="15" hidden="false" customHeight="true" outlineLevel="0" collapsed="false">
      <c r="K61" s="11" t="n">
        <f aca="false">K62-K27-N27</f>
        <v>0</v>
      </c>
      <c r="N61" s="11"/>
    </row>
    <row r="62" customFormat="false" ht="15" hidden="false" customHeight="true" outlineLevel="0" collapsed="false">
      <c r="D62" s="6" t="s">
        <v>19</v>
      </c>
      <c r="E62" s="3" t="n">
        <f aca="false">SUM(E63:E66)</f>
        <v>516.434113</v>
      </c>
      <c r="G62" s="6" t="s">
        <v>19</v>
      </c>
      <c r="H62" s="3" t="n">
        <f aca="false">SUM(H63:H66)</f>
        <v>516.434113</v>
      </c>
      <c r="J62" s="6" t="s">
        <v>19</v>
      </c>
      <c r="K62" s="10" t="n">
        <f aca="false">SUM(K63:K64)</f>
        <v>1198.223</v>
      </c>
      <c r="M62" s="6" t="s">
        <v>19</v>
      </c>
      <c r="N62" s="10" t="n">
        <f aca="false">SUM(N63:N64)</f>
        <v>0</v>
      </c>
    </row>
    <row r="63" customFormat="false" ht="15" hidden="false" customHeight="true" outlineLevel="0" collapsed="false">
      <c r="D63" s="1" t="s">
        <v>20</v>
      </c>
      <c r="E63" s="11" t="n">
        <f aca="false">E49</f>
        <v>179.744</v>
      </c>
      <c r="G63" s="1" t="s">
        <v>20</v>
      </c>
      <c r="H63" s="11" t="n">
        <f aca="false">H49</f>
        <v>179.744</v>
      </c>
      <c r="J63" s="1" t="s">
        <v>20</v>
      </c>
      <c r="K63" s="11" t="n">
        <f aca="false">K28+N28</f>
        <v>604</v>
      </c>
      <c r="M63" s="1" t="s">
        <v>20</v>
      </c>
      <c r="N63" s="11"/>
    </row>
    <row r="64" customFormat="false" ht="15.75" hidden="false" customHeight="true" outlineLevel="0" collapsed="false">
      <c r="D64" s="1" t="s">
        <v>21</v>
      </c>
      <c r="G64" s="1" t="s">
        <v>21</v>
      </c>
      <c r="J64" s="1" t="s">
        <v>21</v>
      </c>
      <c r="K64" s="11" t="n">
        <f aca="false">K29+N29</f>
        <v>594.223</v>
      </c>
      <c r="M64" s="1" t="s">
        <v>21</v>
      </c>
      <c r="N64" s="11"/>
    </row>
    <row r="65" customFormat="false" ht="15" hidden="false" customHeight="true" outlineLevel="0" collapsed="false">
      <c r="D65" s="32" t="s">
        <v>30</v>
      </c>
      <c r="E65" s="33" t="n">
        <f aca="false">N27/2</f>
        <v>419.3675</v>
      </c>
      <c r="G65" s="32" t="s">
        <v>30</v>
      </c>
      <c r="H65" s="33" t="n">
        <f aca="false">N27/2</f>
        <v>419.3675</v>
      </c>
      <c r="J65" s="1" t="s">
        <v>22</v>
      </c>
      <c r="K65" s="11"/>
      <c r="M65" s="1" t="s">
        <v>22</v>
      </c>
    </row>
    <row r="66" customFormat="false" ht="15.75" hidden="false" customHeight="true" outlineLevel="0" collapsed="false">
      <c r="D66" s="34" t="s">
        <v>28</v>
      </c>
      <c r="E66" s="35" t="n">
        <f aca="false">-E75</f>
        <v>-82.677387</v>
      </c>
      <c r="G66" s="34" t="s">
        <v>28</v>
      </c>
      <c r="H66" s="35" t="n">
        <f aca="false">-H75</f>
        <v>-82.677387</v>
      </c>
      <c r="J66" s="1" t="s">
        <v>119</v>
      </c>
    </row>
    <row r="67" customFormat="false" ht="15" hidden="false" customHeight="true" outlineLevel="0" collapsed="false">
      <c r="D67" s="30" t="s">
        <v>29</v>
      </c>
      <c r="E67" s="31" t="n">
        <f aca="false">E65+E66</f>
        <v>336.690113</v>
      </c>
      <c r="G67" s="30" t="s">
        <v>29</v>
      </c>
      <c r="H67" s="31" t="n">
        <f aca="false">H65+H66</f>
        <v>336.690113</v>
      </c>
      <c r="K67" s="11"/>
      <c r="N67" s="11"/>
    </row>
    <row r="68" customFormat="false" ht="15.75" hidden="false" customHeight="true" outlineLevel="0" collapsed="false">
      <c r="K68" s="11"/>
    </row>
    <row r="69" customFormat="false" ht="15" hidden="false" customHeight="true" outlineLevel="0" collapsed="false">
      <c r="D69" s="32" t="s">
        <v>32</v>
      </c>
      <c r="E69" s="36" t="n">
        <f aca="false">E62-E27</f>
        <v>336.690113</v>
      </c>
      <c r="F69" s="36"/>
      <c r="G69" s="36"/>
      <c r="H69" s="37" t="n">
        <f aca="false">H62-H27</f>
        <v>336.690113</v>
      </c>
      <c r="K69" s="11" t="n">
        <f aca="false">K62</f>
        <v>1198.223</v>
      </c>
    </row>
    <row r="70" customFormat="false" ht="15.75" hidden="false" customHeight="true" outlineLevel="0" collapsed="false">
      <c r="D70" s="34"/>
      <c r="E70" s="38"/>
      <c r="F70" s="38"/>
      <c r="G70" s="38"/>
      <c r="H70" s="39" t="n">
        <f aca="false">E69+H69</f>
        <v>673.380226</v>
      </c>
      <c r="J70" s="17" t="n">
        <f aca="false">E71</f>
        <v>0.138</v>
      </c>
      <c r="K70" s="27" t="n">
        <f aca="false">K69*J70</f>
        <v>165.354774</v>
      </c>
      <c r="M70" s="1" t="s">
        <v>1</v>
      </c>
    </row>
    <row r="71" customFormat="false" ht="15" hidden="false" customHeight="true" outlineLevel="0" collapsed="false">
      <c r="D71" s="1" t="s">
        <v>120</v>
      </c>
      <c r="E71" s="17" t="n">
        <v>0.138</v>
      </c>
      <c r="H71" s="17" t="n">
        <f aca="false">E71</f>
        <v>0.138</v>
      </c>
      <c r="J71" s="17" t="n">
        <f aca="false">1-J70</f>
        <v>0.862</v>
      </c>
      <c r="K71" s="27" t="n">
        <f aca="false">K69*J71</f>
        <v>1032.868226</v>
      </c>
      <c r="M71" s="1" t="s">
        <v>37</v>
      </c>
    </row>
    <row r="72" customFormat="false" ht="15" hidden="false" customHeight="true" outlineLevel="0" collapsed="false">
      <c r="D72" s="1" t="str">
        <f aca="false">D49</f>
        <v>Inv. Embracon</v>
      </c>
      <c r="E72" s="12" t="n">
        <f aca="false">E49</f>
        <v>179.744</v>
      </c>
      <c r="H72" s="17"/>
      <c r="J72" s="17"/>
      <c r="K72" s="27"/>
    </row>
    <row r="73" customFormat="false" ht="15" hidden="false" customHeight="true" outlineLevel="0" collapsed="false">
      <c r="D73" s="1" t="str">
        <f aca="false">D50</f>
        <v>Incorporaçao base</v>
      </c>
      <c r="E73" s="40" t="n">
        <f aca="false">E50</f>
        <v>419.3675</v>
      </c>
      <c r="K73" s="1" t="s">
        <v>38</v>
      </c>
    </row>
    <row r="74" customFormat="false" ht="15" hidden="false" customHeight="true" outlineLevel="0" collapsed="false">
      <c r="D74" s="6" t="s">
        <v>39</v>
      </c>
      <c r="E74" s="11" t="n">
        <f aca="false">SUM(E72:E73)</f>
        <v>599.1115</v>
      </c>
      <c r="G74" s="6" t="s">
        <v>19</v>
      </c>
      <c r="H74" s="11" t="n">
        <f aca="false">H49+H50</f>
        <v>599.1115</v>
      </c>
      <c r="K74" s="27" t="n">
        <f aca="false">K71/2</f>
        <v>516.434113</v>
      </c>
    </row>
    <row r="75" customFormat="false" ht="15" hidden="false" customHeight="true" outlineLevel="0" collapsed="false">
      <c r="D75" s="23" t="s">
        <v>40</v>
      </c>
      <c r="E75" s="42" t="n">
        <f aca="false">E74*E71</f>
        <v>82.677387</v>
      </c>
      <c r="H75" s="1" t="n">
        <f aca="false">H74*H71</f>
        <v>82.677387</v>
      </c>
    </row>
    <row r="76" customFormat="false" ht="15" hidden="false" customHeight="true" outlineLevel="0" collapsed="false">
      <c r="J76" s="1" t="s">
        <v>41</v>
      </c>
      <c r="K76" s="27" t="n">
        <f aca="false">K70/2</f>
        <v>82.677387</v>
      </c>
    </row>
    <row r="78" customFormat="false" ht="15" hidden="false" customHeight="true" outlineLevel="0" collapsed="false">
      <c r="D78" s="56" t="s">
        <v>52</v>
      </c>
    </row>
    <row r="79" customFormat="false" ht="15" hidden="false" customHeight="true" outlineLevel="0" collapsed="false">
      <c r="D79" s="1" t="s">
        <v>6</v>
      </c>
      <c r="E79" s="137" t="n">
        <f aca="false">K62</f>
        <v>1198.223</v>
      </c>
      <c r="F79" s="64" t="n">
        <f aca="false">E79/$E$79</f>
        <v>1</v>
      </c>
      <c r="G79" s="66" t="s">
        <v>57</v>
      </c>
      <c r="H79" s="27" t="n">
        <f aca="false">E14</f>
        <v>179.744</v>
      </c>
    </row>
    <row r="80" customFormat="false" ht="15" hidden="false" customHeight="true" outlineLevel="0" collapsed="false">
      <c r="D80" s="1" t="s">
        <v>56</v>
      </c>
      <c r="E80" s="1" t="n">
        <f aca="false">E62</f>
        <v>516.434113</v>
      </c>
      <c r="F80" s="17" t="n">
        <f aca="false">E80/$E$79</f>
        <v>0.431</v>
      </c>
      <c r="G80" s="66" t="s">
        <v>57</v>
      </c>
      <c r="H80" s="27" t="n">
        <f aca="false">H14</f>
        <v>179.744</v>
      </c>
    </row>
    <row r="81" customFormat="false" ht="15" hidden="false" customHeight="true" outlineLevel="0" collapsed="false">
      <c r="D81" s="1" t="s">
        <v>5</v>
      </c>
      <c r="E81" s="1" t="n">
        <f aca="false">H62</f>
        <v>516.434113</v>
      </c>
      <c r="F81" s="17" t="n">
        <f aca="false">E81/$E$79</f>
        <v>0.431</v>
      </c>
      <c r="G81" s="66" t="s">
        <v>63</v>
      </c>
      <c r="H81" s="27" t="n">
        <f aca="false">N27</f>
        <v>838.735</v>
      </c>
    </row>
    <row r="82" customFormat="false" ht="15" hidden="false" customHeight="true" outlineLevel="0" collapsed="false">
      <c r="D82" s="1" t="s">
        <v>62</v>
      </c>
      <c r="E82" s="72" t="n">
        <f aca="false">K70</f>
        <v>165.354774</v>
      </c>
      <c r="F82" s="17" t="n">
        <f aca="false">E82/$E$79</f>
        <v>0.138</v>
      </c>
      <c r="G82" s="66" t="s">
        <v>28</v>
      </c>
      <c r="H82" s="27" t="n">
        <f aca="false">E51</f>
        <v>-82.677387</v>
      </c>
    </row>
    <row r="83" customFormat="false" ht="15" hidden="false" customHeight="true" outlineLevel="0" collapsed="false">
      <c r="E83" s="11"/>
      <c r="G83" s="66" t="s">
        <v>28</v>
      </c>
      <c r="H83" s="78" t="n">
        <f aca="false">H51</f>
        <v>-82.677387</v>
      </c>
    </row>
    <row r="84" customFormat="false" ht="15" hidden="false" customHeight="true" outlineLevel="0" collapsed="false">
      <c r="H84" s="27" t="n">
        <f aca="false">SUM(H79:H83)</f>
        <v>1032.868226</v>
      </c>
    </row>
    <row r="85" customFormat="false" ht="15" hidden="false" customHeight="true" outlineLevel="0" collapsed="false">
      <c r="G85" s="66" t="s">
        <v>67</v>
      </c>
      <c r="H85" s="27"/>
    </row>
    <row r="86" customFormat="false" ht="15" hidden="false" customHeight="true" outlineLevel="0" collapsed="false">
      <c r="E86" s="17" t="n">
        <f aca="false">E71</f>
        <v>0.138</v>
      </c>
      <c r="G86" s="66" t="s">
        <v>4</v>
      </c>
      <c r="H86" s="27" t="n">
        <f aca="false">E48</f>
        <v>516.434113</v>
      </c>
    </row>
    <row r="87" customFormat="false" ht="15" hidden="false" customHeight="true" outlineLevel="0" collapsed="false">
      <c r="E87" s="82" t="n">
        <v>0.4</v>
      </c>
      <c r="G87" s="66" t="s">
        <v>5</v>
      </c>
      <c r="H87" s="27" t="n">
        <f aca="false">H62</f>
        <v>516.434113</v>
      </c>
    </row>
    <row r="88" customFormat="false" ht="15" hidden="false" customHeight="true" outlineLevel="0" collapsed="false">
      <c r="E88" s="17" t="n">
        <f aca="false">E87-E86</f>
        <v>0.262</v>
      </c>
      <c r="H88" s="27" t="n">
        <f aca="false">H84-H86-H87</f>
        <v>0</v>
      </c>
    </row>
    <row r="89" customFormat="false" ht="15" hidden="false" customHeight="true" outlineLevel="0" collapsed="false">
      <c r="E89" s="17" t="n">
        <f aca="false">E88/2</f>
        <v>0.131</v>
      </c>
      <c r="F89" s="1" t="s">
        <v>72</v>
      </c>
    </row>
    <row r="91" customFormat="false" ht="15" hidden="false" customHeight="true" outlineLevel="0" collapsed="false">
      <c r="D91" s="1" t="s">
        <v>74</v>
      </c>
      <c r="E91" s="1" t="s">
        <v>75</v>
      </c>
      <c r="F91" s="1" t="s">
        <v>76</v>
      </c>
      <c r="G91" s="1" t="s">
        <v>77</v>
      </c>
    </row>
    <row r="92" customFormat="false" ht="15" hidden="false" customHeight="true" outlineLevel="0" collapsed="false">
      <c r="D92" s="1" t="s">
        <v>56</v>
      </c>
      <c r="E92" s="17" t="n">
        <f aca="false">F80</f>
        <v>0.431</v>
      </c>
      <c r="F92" s="92" t="n">
        <f aca="false">-E89</f>
        <v>-0.131</v>
      </c>
      <c r="G92" s="93" t="n">
        <f aca="false">SUM(E92:F92)</f>
        <v>0.3</v>
      </c>
    </row>
    <row r="93" customFormat="false" ht="15" hidden="false" customHeight="true" outlineLevel="0" collapsed="false">
      <c r="D93" s="1" t="s">
        <v>5</v>
      </c>
      <c r="E93" s="17" t="n">
        <f aca="false">F81</f>
        <v>0.431</v>
      </c>
      <c r="F93" s="92" t="n">
        <f aca="false">-E89</f>
        <v>-0.131</v>
      </c>
      <c r="G93" s="93" t="n">
        <f aca="false">SUM(E93:F93)</f>
        <v>0.3</v>
      </c>
    </row>
    <row r="94" customFormat="false" ht="15" hidden="false" customHeight="true" outlineLevel="0" collapsed="false">
      <c r="D94" s="1" t="s">
        <v>62</v>
      </c>
      <c r="E94" s="17" t="n">
        <f aca="false">F82</f>
        <v>0.138</v>
      </c>
      <c r="F94" s="92" t="n">
        <f aca="false">-F92-F93</f>
        <v>0.262</v>
      </c>
      <c r="G94" s="93" t="n">
        <f aca="false">SUM(E94:F94)</f>
        <v>0.4</v>
      </c>
    </row>
    <row r="96" customFormat="false" ht="15" hidden="false" customHeight="true" outlineLevel="0" collapsed="false">
      <c r="F96" s="1" t="s">
        <v>85</v>
      </c>
      <c r="G96" s="1" t="s">
        <v>86</v>
      </c>
      <c r="H96" s="1" t="s">
        <v>87</v>
      </c>
      <c r="I96" s="16" t="n">
        <v>0.34</v>
      </c>
    </row>
    <row r="97" customFormat="false" ht="15" hidden="false" customHeight="true" outlineLevel="0" collapsed="false">
      <c r="C97" s="1" t="s">
        <v>121</v>
      </c>
      <c r="D97" s="17" t="n">
        <f aca="false">F92</f>
        <v>-0.131</v>
      </c>
      <c r="E97" s="11" t="n">
        <f aca="false">E49</f>
        <v>179.744</v>
      </c>
      <c r="F97" s="27" t="n">
        <f aca="false">E97*D97</f>
        <v>-23.546464</v>
      </c>
      <c r="G97" s="1" t="n">
        <v>600</v>
      </c>
      <c r="H97" s="27" t="n">
        <f aca="false">G97+F97</f>
        <v>576.453536</v>
      </c>
      <c r="I97" s="27" t="n">
        <f aca="false">H97*I96</f>
        <v>195.99420224</v>
      </c>
    </row>
    <row r="98" customFormat="false" ht="15" hidden="false" customHeight="true" outlineLevel="0" collapsed="false">
      <c r="C98" s="1" t="s">
        <v>121</v>
      </c>
      <c r="D98" s="17" t="n">
        <f aca="false">F93</f>
        <v>-0.131</v>
      </c>
      <c r="E98" s="11" t="n">
        <f aca="false">E48</f>
        <v>516.434113</v>
      </c>
      <c r="F98" s="27" t="n">
        <f aca="false">E98*D98</f>
        <v>-67.652868803</v>
      </c>
      <c r="G98" s="1" t="n">
        <f aca="false">G97</f>
        <v>600</v>
      </c>
      <c r="H98" s="27" t="n">
        <f aca="false">G98+F98</f>
        <v>532.347131197</v>
      </c>
      <c r="I98" s="27" t="n">
        <f aca="false">H98*I96</f>
        <v>180.99802460698</v>
      </c>
    </row>
  </sheetData>
  <mergeCells count="3">
    <mergeCell ref="D4:N4"/>
    <mergeCell ref="G33:I33"/>
    <mergeCell ref="D39:N3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2026-08-10T10:23:44Z</dcterms:created>
  <dc:creator>Molina - CDP</dc:creator>
  <dc:description/>
  <dc:language>en-US</dc:language>
  <cp:lastModifiedBy>Maria Luiza Carneiro Assad | Stocche Forbes Advogados</cp:lastModifiedBy>
  <cp:lastPrinted>2026-08-10T11:58:18Z</cp:lastPrinted>
  <dcterms:modified xsi:type="dcterms:W3CDTF">2026-08-31T22:29:50Z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0x01010096706F4D205BC14CBF5FDF38141D2F2A</vt:lpwstr>
  </property>
</Properties>
</file>