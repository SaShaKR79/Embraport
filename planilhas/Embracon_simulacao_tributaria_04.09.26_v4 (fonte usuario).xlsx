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occheforbes-my.sharepoint.com/personal/casilva_stoccheforbes_com_br/Documents/Documentos/Embracon/Planilha + Materiais/Versões finais (31.08)/"/>
    </mc:Choice>
  </mc:AlternateContent>
  <xr:revisionPtr revIDLastSave="0" documentId="8_{3388F0D2-5AB3-43F0-98EB-0B1AC83DEAFA}" xr6:coauthVersionLast="47" xr6:coauthVersionMax="47" xr10:uidLastSave="{00000000-0000-0000-0000-000000000000}"/>
  <bookViews>
    <workbookView xWindow="5130" yWindow="-16320" windowWidth="29040" windowHeight="15720" activeTab="2" xr2:uid="{9F143F3C-4A7F-4F50-9B6A-A4BAA8B69D0B}"/>
  </bookViews>
  <sheets>
    <sheet name="Organograma" sheetId="3" r:id="rId1"/>
    <sheet name="Cálculos da Operação" sheetId="15" r:id="rId2"/>
    <sheet name="Alienação Futura (PJ x PF)" sheetId="17" r:id="rId3"/>
    <sheet name="Dourada C. e A. SA" sheetId="4" state="hidden" r:id="rId4"/>
    <sheet name="Embracon Franchising" sheetId="10" state="hidden" r:id="rId5"/>
    <sheet name="Embrafisa Consul." sheetId="9" state="hidden" r:id="rId6"/>
    <sheet name="GSJ" sheetId="11" state="hidden" r:id="rId7"/>
  </sheets>
  <definedNames>
    <definedName name="__xlnm_Print_Area_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1" l="1"/>
  <c r="D9" i="11"/>
  <c r="G5" i="11"/>
  <c r="G4" i="11" s="1"/>
  <c r="D5" i="11"/>
  <c r="D4" i="11" s="1"/>
  <c r="D12" i="9"/>
  <c r="G10" i="9"/>
  <c r="G5" i="9"/>
  <c r="G4" i="9" s="1"/>
  <c r="D5" i="9"/>
  <c r="D4" i="9" s="1"/>
  <c r="D9" i="10"/>
  <c r="G7" i="10"/>
  <c r="G5" i="10"/>
  <c r="G4" i="10" s="1"/>
  <c r="D5" i="10"/>
  <c r="D4" i="10" s="1"/>
  <c r="G13" i="4"/>
  <c r="D11" i="4"/>
  <c r="G10" i="4"/>
  <c r="J5" i="4"/>
  <c r="G5" i="4"/>
  <c r="G4" i="4" s="1"/>
  <c r="D5" i="4"/>
  <c r="D4" i="4" s="1"/>
  <c r="C76" i="17"/>
  <c r="C70" i="17"/>
  <c r="C68" i="17"/>
  <c r="C46" i="17"/>
  <c r="C16" i="17"/>
  <c r="C42" i="17" s="1"/>
  <c r="C47" i="17" s="1"/>
  <c r="C15" i="17"/>
  <c r="C27" i="17" s="1"/>
  <c r="C13" i="17"/>
  <c r="C12" i="17"/>
  <c r="C9" i="17"/>
  <c r="C10" i="17" s="1"/>
  <c r="C8" i="17"/>
  <c r="C85" i="15"/>
  <c r="I85" i="15" s="1"/>
  <c r="J84" i="15"/>
  <c r="I84" i="15"/>
  <c r="D70" i="15"/>
  <c r="D69" i="15"/>
  <c r="D65" i="15"/>
  <c r="D64" i="15"/>
  <c r="E56" i="15"/>
  <c r="D56" i="15"/>
  <c r="E49" i="15"/>
  <c r="D49" i="15"/>
  <c r="F49" i="15" s="1"/>
  <c r="C14" i="17" s="1"/>
  <c r="D25" i="17" s="1"/>
  <c r="C39" i="15"/>
  <c r="D50" i="15" s="1"/>
  <c r="C38" i="15"/>
  <c r="D34" i="15"/>
  <c r="C77" i="15" s="1"/>
  <c r="D33" i="15"/>
  <c r="C76" i="15" s="1"/>
  <c r="D32" i="15"/>
  <c r="D35" i="15" s="1"/>
  <c r="C21" i="15"/>
  <c r="C20" i="15"/>
  <c r="D66" i="15" l="1"/>
  <c r="D62" i="15"/>
  <c r="C75" i="15"/>
  <c r="I49" i="15"/>
  <c r="E50" i="15"/>
  <c r="E51" i="15" s="1"/>
  <c r="C78" i="15"/>
  <c r="C40" i="15"/>
  <c r="D38" i="15" s="1"/>
  <c r="E70" i="17"/>
  <c r="C88" i="17"/>
  <c r="E68" i="17"/>
  <c r="C25" i="17"/>
  <c r="C50" i="17"/>
  <c r="D50" i="17" s="1"/>
  <c r="C17" i="17"/>
  <c r="C28" i="17" s="1"/>
  <c r="E28" i="17" s="1"/>
  <c r="E27" i="17"/>
  <c r="G27" i="17" s="1"/>
  <c r="D46" i="17"/>
  <c r="D39" i="15"/>
  <c r="C45" i="15"/>
  <c r="C44" i="15"/>
  <c r="C43" i="15"/>
  <c r="D26" i="17"/>
  <c r="D76" i="15"/>
  <c r="F76" i="15" s="1"/>
  <c r="D75" i="15"/>
  <c r="F75" i="15" s="1"/>
  <c r="D67" i="15"/>
  <c r="D71" i="15" s="1"/>
  <c r="D77" i="15"/>
  <c r="F77" i="15" s="1"/>
  <c r="D27" i="17"/>
  <c r="E52" i="15"/>
  <c r="E57" i="15" s="1"/>
  <c r="C90" i="17"/>
  <c r="D51" i="15"/>
  <c r="F50" i="15" l="1"/>
  <c r="C42" i="15"/>
  <c r="C29" i="17"/>
  <c r="D28" i="17"/>
  <c r="F28" i="17" s="1"/>
  <c r="F78" i="15"/>
  <c r="C11" i="17"/>
  <c r="E25" i="17" s="1"/>
  <c r="C86" i="15"/>
  <c r="F27" i="17"/>
  <c r="C48" i="17"/>
  <c r="C51" i="17" s="1"/>
  <c r="C53" i="17" s="1"/>
  <c r="D47" i="17"/>
  <c r="D48" i="17" s="1"/>
  <c r="D78" i="15"/>
  <c r="D40" i="15"/>
  <c r="G28" i="17"/>
  <c r="C35" i="17"/>
  <c r="F51" i="15"/>
  <c r="J50" i="15"/>
  <c r="J51" i="15" s="1"/>
  <c r="D52" i="15"/>
  <c r="E26" i="17" l="1"/>
  <c r="F26" i="17" s="1"/>
  <c r="C55" i="17"/>
  <c r="C61" i="17"/>
  <c r="C69" i="17" s="1"/>
  <c r="D29" i="17"/>
  <c r="D57" i="15"/>
  <c r="E55" i="15" s="1"/>
  <c r="F52" i="15"/>
  <c r="E35" i="17"/>
  <c r="D95" i="17"/>
  <c r="D51" i="17"/>
  <c r="C75" i="17"/>
  <c r="C77" i="17" s="1"/>
  <c r="C79" i="17" s="1"/>
  <c r="C87" i="15"/>
  <c r="I86" i="15"/>
  <c r="C93" i="15"/>
  <c r="I93" i="15" s="1"/>
  <c r="C33" i="17"/>
  <c r="F87" i="17"/>
  <c r="F25" i="17"/>
  <c r="E69" i="17" l="1"/>
  <c r="C103" i="17" s="1"/>
  <c r="G26" i="17"/>
  <c r="G29" i="17" s="1"/>
  <c r="F29" i="17"/>
  <c r="E29" i="17"/>
  <c r="C95" i="17" s="1"/>
  <c r="E95" i="17" s="1"/>
  <c r="C34" i="17"/>
  <c r="C89" i="15"/>
  <c r="I87" i="15"/>
  <c r="D53" i="17"/>
  <c r="D96" i="17"/>
  <c r="F69" i="17"/>
  <c r="C89" i="17"/>
  <c r="F88" i="17"/>
  <c r="F90" i="17"/>
  <c r="C36" i="17"/>
  <c r="D35" i="17" s="1"/>
  <c r="C96" i="17"/>
  <c r="E34" i="17"/>
  <c r="E36" i="17" s="1"/>
  <c r="C97" i="17" s="1"/>
  <c r="E85" i="15"/>
  <c r="E87" i="17" l="1"/>
  <c r="E89" i="17" s="1"/>
  <c r="D87" i="17"/>
  <c r="D70" i="17"/>
  <c r="C101" i="17" s="1"/>
  <c r="D68" i="17"/>
  <c r="C99" i="17" s="1"/>
  <c r="D69" i="17"/>
  <c r="C100" i="17" s="1"/>
  <c r="D34" i="17"/>
  <c r="E86" i="15"/>
  <c r="E93" i="15" s="1"/>
  <c r="J85" i="15"/>
  <c r="F89" i="17"/>
  <c r="D33" i="17"/>
  <c r="E96" i="17"/>
  <c r="D100" i="17"/>
  <c r="D105" i="17"/>
  <c r="D97" i="17"/>
  <c r="E97" i="17" s="1"/>
  <c r="C78" i="17"/>
  <c r="C80" i="17" s="1"/>
  <c r="G68" i="17"/>
  <c r="I68" i="17" s="1"/>
  <c r="G70" i="17"/>
  <c r="I70" i="17" s="1"/>
  <c r="G69" i="17"/>
  <c r="F68" i="17"/>
  <c r="F70" i="17"/>
  <c r="C90" i="15"/>
  <c r="I90" i="15" s="1"/>
  <c r="I89" i="15"/>
  <c r="C91" i="15"/>
  <c r="H69" i="17" l="1"/>
  <c r="E100" i="17"/>
  <c r="D89" i="17"/>
  <c r="G89" i="17" s="1"/>
  <c r="G87" i="17"/>
  <c r="D90" i="17"/>
  <c r="H90" i="17" s="1"/>
  <c r="D88" i="17"/>
  <c r="H88" i="17" s="1"/>
  <c r="H87" i="17"/>
  <c r="E88" i="17"/>
  <c r="G88" i="17" s="1"/>
  <c r="E90" i="17"/>
  <c r="H68" i="17"/>
  <c r="D103" i="17"/>
  <c r="E103" i="17" s="1"/>
  <c r="I69" i="17"/>
  <c r="D36" i="17"/>
  <c r="G90" i="17"/>
  <c r="D101" i="17"/>
  <c r="E101" i="17" s="1"/>
  <c r="H70" i="17"/>
  <c r="D99" i="17"/>
  <c r="E99" i="17" s="1"/>
  <c r="C105" i="17"/>
  <c r="E105" i="17" s="1"/>
  <c r="J93" i="15"/>
  <c r="G93" i="15"/>
  <c r="I91" i="15"/>
  <c r="E87" i="15"/>
  <c r="J86" i="15"/>
  <c r="H89" i="17" l="1"/>
  <c r="K93" i="15"/>
  <c r="E89" i="15"/>
  <c r="J87" i="15"/>
  <c r="E90" i="15" l="1"/>
  <c r="J89" i="15"/>
  <c r="E91" i="15"/>
  <c r="J91" i="15" l="1"/>
  <c r="K91" i="15" s="1"/>
  <c r="G91" i="15"/>
  <c r="J90" i="15"/>
  <c r="K90" i="15" s="1"/>
  <c r="G90" i="15"/>
</calcChain>
</file>

<file path=xl/sharedStrings.xml><?xml version="1.0" encoding="utf-8"?>
<sst xmlns="http://schemas.openxmlformats.org/spreadsheetml/2006/main" count="349" uniqueCount="277">
  <si>
    <t>DOURADA COMERCIAL E AGROPECUARIA S/A</t>
  </si>
  <si>
    <t>Provisão p/ devedores duvidosos</t>
  </si>
  <si>
    <t>-Excel LALUR 2024</t>
  </si>
  <si>
    <t xml:space="preserve">Incentivos Fiscais </t>
  </si>
  <si>
    <t xml:space="preserve">Base de Cálculo do Incentivo </t>
  </si>
  <si>
    <t xml:space="preserve">Limite de Dedução Individual </t>
  </si>
  <si>
    <t xml:space="preserve">Embasamento Legal </t>
  </si>
  <si>
    <t>Programa de Alimentação ao Trabalhador - PAT</t>
  </si>
  <si>
    <t>objetivo de melhorar as condições nutricionais e de qualidade de vida dos trabalhadores</t>
  </si>
  <si>
    <t>4% do IRPJ devido ANTES ADCIONAL 10%</t>
  </si>
  <si>
    <t>Artigos 491 a 493, 504 a 507, 581 a 587 do RIR/99</t>
  </si>
  <si>
    <t>Doações aos Fundos dos Direitos da Criança e do Adolescente</t>
  </si>
  <si>
    <t>Doações efetivamente realizadas</t>
  </si>
  <si>
    <t>1% do IRPJ devido ANTES ADICIONAL 10%</t>
  </si>
  <si>
    <t>Art. 591 do RIR/99</t>
  </si>
  <si>
    <t>Atividade Audiovisual</t>
  </si>
  <si>
    <t>Valores aplicados na aquisição de certificados de investimentos em projetos aprovados pelo Ministério da Cultura</t>
  </si>
  <si>
    <t>3% do IRPJ devido ANTES ADICIONAL 10%</t>
  </si>
  <si>
    <t>  Artigos 475  478, 484 a 488 do RIR/99</t>
  </si>
  <si>
    <t>LEI DE INCENTIVO A CULTURAL - ROUANET</t>
  </si>
  <si>
    <t>É a lei que institui o Programa Nacional de Apoio à Cultura - PRONAC</t>
  </si>
  <si>
    <t>4% do IRPJ devido ANTES ADICIONAL 10%</t>
  </si>
  <si>
    <t>Base Legal: Lei 8.313/1991; Lei 9.874/1999; Decreto 3.000/1999; Instrução Normativa-SRF 267/2002 e Instrução Normativa-SRF 390/2004.</t>
  </si>
  <si>
    <t>FUNDO MUNICIPAL DO IDOSO - FMI</t>
  </si>
  <si>
    <t xml:space="preserve">doações efetuadas aos respectivos fundos municipais, estaduais e nacional. </t>
  </si>
  <si>
    <t>1% do IRPJ devido ANTES ADCIONAL 10%</t>
  </si>
  <si>
    <t>LEI 12.213</t>
  </si>
  <si>
    <t>LEI DE INCENTIVO AO ESPORTE - LIE</t>
  </si>
  <si>
    <t>Objetiva principalmente incentivar o esporte de um modo geral.</t>
  </si>
  <si>
    <t>LEI 11.438</t>
  </si>
  <si>
    <t>Ativos</t>
  </si>
  <si>
    <t>Passivos</t>
  </si>
  <si>
    <t>Ativos circulantes</t>
  </si>
  <si>
    <t>Passivos circulantes</t>
  </si>
  <si>
    <t>Caixa e equivalentes de caixa</t>
  </si>
  <si>
    <t>Fornecedores</t>
  </si>
  <si>
    <t>Outras contas a receber (adiantamentos)</t>
  </si>
  <si>
    <t>Empréstimos e financiamentos</t>
  </si>
  <si>
    <t>Provisões trab/tribut</t>
  </si>
  <si>
    <t>Passivos não circulantes</t>
  </si>
  <si>
    <t>Investimentos</t>
  </si>
  <si>
    <t>Patrimônio líquido</t>
  </si>
  <si>
    <t>Contas a receber</t>
  </si>
  <si>
    <t>Títulos e valores mobiliários</t>
  </si>
  <si>
    <t>Impostos a compensar</t>
  </si>
  <si>
    <t>Imobilizado</t>
  </si>
  <si>
    <t>Ativo Permanente</t>
  </si>
  <si>
    <t>Dividendos</t>
  </si>
  <si>
    <t>Adiantamento de clientes</t>
  </si>
  <si>
    <t>Capital subscrito e integralizado</t>
  </si>
  <si>
    <t>Reserva de reavaliação</t>
  </si>
  <si>
    <t>Lucros/Prejuízos acumulados</t>
  </si>
  <si>
    <t>Lucro Real</t>
  </si>
  <si>
    <t>Reserva de lucros (reserva legal)</t>
  </si>
  <si>
    <t>Prejuízo Fiscal IRPJ</t>
  </si>
  <si>
    <t>Prejuízo Fiscal CSLL</t>
  </si>
  <si>
    <t>Contas a pagar</t>
  </si>
  <si>
    <t>Base das informações</t>
  </si>
  <si>
    <t>Excel: LALUR</t>
  </si>
  <si>
    <t>EMBRACON FRANCHISING LTDA</t>
  </si>
  <si>
    <t>Lucro Presumido</t>
  </si>
  <si>
    <t>Balanço</t>
  </si>
  <si>
    <t>Titulos e Valores Mobiliários</t>
  </si>
  <si>
    <t>Outros créditos</t>
  </si>
  <si>
    <t xml:space="preserve">Ativo não circulante </t>
  </si>
  <si>
    <t xml:space="preserve">Realizável a longo prazo - outros investimentos </t>
  </si>
  <si>
    <t>Fiscais e previdenciários</t>
  </si>
  <si>
    <t>Capital a integralizar</t>
  </si>
  <si>
    <t>Reseva de Lucros</t>
  </si>
  <si>
    <t/>
  </si>
  <si>
    <t>Caixa e equivalentes</t>
  </si>
  <si>
    <t>clientes</t>
  </si>
  <si>
    <t>adiantamentos</t>
  </si>
  <si>
    <t>Estoques</t>
  </si>
  <si>
    <t>Ações Judiciais</t>
  </si>
  <si>
    <t>Ativo não circulante</t>
  </si>
  <si>
    <t>Obrigações trib.</t>
  </si>
  <si>
    <t>Obrigações Trab.</t>
  </si>
  <si>
    <t>Previsão de adiantamento de clientes</t>
  </si>
  <si>
    <t xml:space="preserve">Reserva de lucros </t>
  </si>
  <si>
    <t>EMBRAFISA CONSUL. EMPRE. CORRE. DE SEGU. E EMPREEND. IMOB. LTDA</t>
  </si>
  <si>
    <t>Caixa e equivalente</t>
  </si>
  <si>
    <t>Titulos e valores mobiliarios</t>
  </si>
  <si>
    <t>Participação societárias</t>
  </si>
  <si>
    <t>Outros creditos</t>
  </si>
  <si>
    <t>Outros investimentos</t>
  </si>
  <si>
    <t>Fiscais e Previdenciarias</t>
  </si>
  <si>
    <t>Diversas</t>
  </si>
  <si>
    <t>Dividendos a pagar</t>
  </si>
  <si>
    <t>Reserva legal</t>
  </si>
  <si>
    <t>reserva de lucros</t>
  </si>
  <si>
    <t>Lucros/Prejuizos acumulados</t>
  </si>
  <si>
    <t>GSJ Balanço</t>
  </si>
  <si>
    <t xml:space="preserve">                         </t>
  </si>
  <si>
    <t>COMPANHIA GSJ DE PART.</t>
  </si>
  <si>
    <t>-</t>
  </si>
  <si>
    <t>Premissas econômicas</t>
  </si>
  <si>
    <t xml:space="preserve">Patrimonio Liquido </t>
  </si>
  <si>
    <t>SAVIAN</t>
  </si>
  <si>
    <t>JVFJ</t>
  </si>
  <si>
    <t>EMBRACON</t>
  </si>
  <si>
    <t>Invest. Embracon</t>
  </si>
  <si>
    <t>Data-base dos balanços</t>
  </si>
  <si>
    <t>30.06.2026</t>
  </si>
  <si>
    <t>Unidade</t>
  </si>
  <si>
    <t>R$ milhões</t>
  </si>
  <si>
    <t>Participação das Partes CNP na incorporação (relação de troca)</t>
  </si>
  <si>
    <t>IRPJ/CSLL — ganho de capital PJ</t>
  </si>
  <si>
    <t>Informações Adicionais</t>
  </si>
  <si>
    <t>Participação Societária (Embracon)</t>
  </si>
  <si>
    <t>Antes</t>
  </si>
  <si>
    <t>Após Inc</t>
  </si>
  <si>
    <t xml:space="preserve">(=) Total </t>
  </si>
  <si>
    <t>PL Embracon (pós inc)</t>
  </si>
  <si>
    <t>Embracon - Incorporação do Acervo</t>
  </si>
  <si>
    <t>Reflexo nas Holdings (MEP) - Custo de Investimento</t>
  </si>
  <si>
    <t>Custo Original (Investimento anterior)</t>
  </si>
  <si>
    <t>Total</t>
  </si>
  <si>
    <t>(+) Incorporação base</t>
  </si>
  <si>
    <t>(-) Diluição (13,8%)</t>
  </si>
  <si>
    <t>(=) Parcela liquida incorporada</t>
  </si>
  <si>
    <t>(=) Custo Incrementado</t>
  </si>
  <si>
    <t>Custo Original</t>
  </si>
  <si>
    <t>Acervo liquido incorporado</t>
  </si>
  <si>
    <t>Custo do Investimento Incrementado (Alternativa)</t>
  </si>
  <si>
    <t>2 x 463,75 -&gt;</t>
  </si>
  <si>
    <t>Lançamentos Contábeis (Holdings)</t>
  </si>
  <si>
    <t>Reflexo da Incorporação</t>
  </si>
  <si>
    <t>Débitos</t>
  </si>
  <si>
    <t>Crédito</t>
  </si>
  <si>
    <t>Perda de diluição</t>
  </si>
  <si>
    <t>(=) Efeito Líquido do Investimento</t>
  </si>
  <si>
    <t xml:space="preserve">SAVIAN </t>
  </si>
  <si>
    <t>1) Incorporação CNPH</t>
  </si>
  <si>
    <t xml:space="preserve">CNP </t>
  </si>
  <si>
    <t>Alienação total estimada</t>
  </si>
  <si>
    <t>Participação-alvo final das Partes na CNPH</t>
  </si>
  <si>
    <t xml:space="preserve">2) Cash-out - Simultânea </t>
  </si>
  <si>
    <t xml:space="preserve">Incorporação </t>
  </si>
  <si>
    <t>Percentual de Venda (Cash Out)</t>
  </si>
  <si>
    <t>(=) Total</t>
  </si>
  <si>
    <t>Pós Inc</t>
  </si>
  <si>
    <t>Venda (Cash-Out)</t>
  </si>
  <si>
    <t xml:space="preserve">Final </t>
  </si>
  <si>
    <t>Alteração na participação da Embracon</t>
  </si>
  <si>
    <t>Cenário B (incrementado)</t>
  </si>
  <si>
    <t>Cenário A (original)</t>
  </si>
  <si>
    <t>Item</t>
  </si>
  <si>
    <t>Preço (Cash-out)</t>
  </si>
  <si>
    <t>Valor estimado Cash-Out (Preço)</t>
  </si>
  <si>
    <t>Custo Total</t>
  </si>
  <si>
    <t>Por Holding</t>
  </si>
  <si>
    <t>Participação por holding pós inc</t>
  </si>
  <si>
    <t>Fração Alienada (Cash-Out)</t>
  </si>
  <si>
    <t xml:space="preserve">Custo Alocado </t>
  </si>
  <si>
    <t xml:space="preserve">Ganho de Capital </t>
  </si>
  <si>
    <t>IRPJ/CSLL (34%)</t>
  </si>
  <si>
    <t xml:space="preserve">Ganho Liquido </t>
  </si>
  <si>
    <t>Alíquota Efetiva (preço)</t>
  </si>
  <si>
    <t>Custo Remanescente</t>
  </si>
  <si>
    <t>Δ (Economia)</t>
  </si>
  <si>
    <t>Cálculo Ganho de Capital (Holdings)</t>
  </si>
  <si>
    <t xml:space="preserve">Total </t>
  </si>
  <si>
    <t>Cen A</t>
  </si>
  <si>
    <t>Cen B</t>
  </si>
  <si>
    <t>Informações</t>
  </si>
  <si>
    <t>Informação</t>
  </si>
  <si>
    <t>Valor</t>
  </si>
  <si>
    <t>Participação-alvo final das Partes CNP</t>
  </si>
  <si>
    <t>Participação final das famílias (Savian + JVFJ)</t>
  </si>
  <si>
    <t>Fração do investimento das Holdings alienada no cash-out</t>
  </si>
  <si>
    <t>PL contábil da Embracon (antes da incorporação)</t>
  </si>
  <si>
    <t>Custo original do investimento das Holdings (Savian + JVFJ)</t>
  </si>
  <si>
    <t>PL contábil da CNP</t>
  </si>
  <si>
    <t>Valor de mercado da CNP (valor pelo qual o acervo é incorporado no CPC 15 — PPA)</t>
  </si>
  <si>
    <t>Camada do custo</t>
  </si>
  <si>
    <t>Baixa no cash-out</t>
  </si>
  <si>
    <t>Custo original (PL contábil da Embracon)</t>
  </si>
  <si>
    <t>–</t>
  </si>
  <si>
    <t>(−) Perda por diluição de 13,8% sobre o custo original</t>
  </si>
  <si>
    <t>Reflexo do PL contábil da CNP</t>
  </si>
  <si>
    <t>Reflexo da mais-valia da CNP (AVJ do PPA)</t>
  </si>
  <si>
    <t>(=) Custo do investimento das Holdings</t>
  </si>
  <si>
    <t>Parcela do custo após o cash-out</t>
  </si>
  <si>
    <t>% do custo</t>
  </si>
  <si>
    <t>IR potencial (34%)</t>
  </si>
  <si>
    <t>Componente</t>
  </si>
  <si>
    <t>100% da JO</t>
  </si>
  <si>
    <t>60% (Holdings)</t>
  </si>
  <si>
    <t>Valor justo da Embracon</t>
  </si>
  <si>
    <t>Preço de venda abaixo do valor justo</t>
  </si>
  <si>
    <t>Preço de venda acima do valor justo</t>
  </si>
  <si>
    <t>Custo das quotas das Holdings nas pessoas físicas</t>
  </si>
  <si>
    <t>Cenário de preço</t>
  </si>
  <si>
    <t>Preço de venda</t>
  </si>
  <si>
    <t>Abaixo do valor justo</t>
  </si>
  <si>
    <t>Igual ao valor justo</t>
  </si>
  <si>
    <t>Acima do valor justo</t>
  </si>
  <si>
    <t>Movimento na Holding (CPC 19)</t>
  </si>
  <si>
    <t>Baixa do investimento (60% do valor justo da JO)</t>
  </si>
  <si>
    <t>Preço recebido</t>
  </si>
  <si>
    <t>(=) Resultado contábil da venda</t>
  </si>
  <si>
    <t>Crédito teórico sobre a perda (34%)</t>
  </si>
  <si>
    <t>Custo fiscal considerado em cada hipótese</t>
  </si>
  <si>
    <t>Ponto de comparação</t>
  </si>
  <si>
    <t>CPC 15</t>
  </si>
  <si>
    <t>CPC 19</t>
  </si>
  <si>
    <t>Δ (CPC 19 − CPC 15)</t>
  </si>
  <si>
    <t>Custo do investimento das Holdings após o cash-out</t>
  </si>
  <si>
    <t>CPC 15: reflexo cuja neutralidade depende de tese; CPC 19: AVJ carimbado, sem discussão.</t>
  </si>
  <si>
    <t>IR potencial sobre essa parcela (34%)</t>
  </si>
  <si>
    <t>CPC 15: devido só se o fisco negar o custo e prevalecer; CPC 19: devido na venda, qualquer que seja o preço.</t>
  </si>
  <si>
    <t>IR na venda pela Holding — preço abaixo do valor justo</t>
  </si>
  <si>
    <t>O piso do imposto carimbado torna o CPC 19 muito mais oneroso em vendas abaixo do valor justo.</t>
  </si>
  <si>
    <t>IR na venda pela Holding — preço igual ao valor justo</t>
  </si>
  <si>
    <t>Diferença = 34% da mais-valia da CNP: nos preços a partir do valor justo os regimes se aproximam.</t>
  </si>
  <si>
    <t>IR na venda pela Holding — preço acima do valor justo</t>
  </si>
  <si>
    <t>Mesma diferença fixa; o excedente ao valor justo é tributado a 34% nos dois regimes.</t>
  </si>
  <si>
    <t>IR na venda pelas pessoas físicas — preço igual ao valor justo</t>
  </si>
  <si>
    <t>Se a tese de neutralidade do reflexo for integralmente afastada, o CPC 15 passa a ser mais oneroso que o CPC 19.</t>
  </si>
  <si>
    <t>Composição do custo do investimento das Holdings</t>
  </si>
  <si>
    <t>Holdings (pós inc)</t>
  </si>
  <si>
    <t xml:space="preserve">Holdings após o cash-out </t>
  </si>
  <si>
    <t xml:space="preserve">IR  (34%) </t>
  </si>
  <si>
    <t>Custo remanescente após o cash-out</t>
  </si>
  <si>
    <t xml:space="preserve">Reflexo da mais-valia da CNP </t>
  </si>
  <si>
    <t>(=) Custo após o cash-out (com incremento)</t>
  </si>
  <si>
    <t>Custo fiscal original</t>
  </si>
  <si>
    <t>Reflexo do PL contábil da CNP (pós diluição)</t>
  </si>
  <si>
    <t xml:space="preserve">VJ da Embracon </t>
  </si>
  <si>
    <t>CNPH (ações novas)</t>
  </si>
  <si>
    <t>CNP</t>
  </si>
  <si>
    <t>Valor de Mercado CNP</t>
  </si>
  <si>
    <t>Avaliação a Valor Justo</t>
  </si>
  <si>
    <t>VJ CNP</t>
  </si>
  <si>
    <t>Investimento das Holdings na JO (60% - pós cash-out)</t>
  </si>
  <si>
    <t>Valor justo da CNP</t>
  </si>
  <si>
    <t>(=) Valor justo total</t>
  </si>
  <si>
    <t xml:space="preserve">(=) Ganho de AVJ </t>
  </si>
  <si>
    <t>Tributação diferida (subconta — arts. 13 e 14, Lei 12.973/14)</t>
  </si>
  <si>
    <t>Devido na realização do investimento (venda)</t>
  </si>
  <si>
    <t>Tributação do Passivo fiscal diferido</t>
  </si>
  <si>
    <t>(−) Base contábil (PL Embracon + PL CNP)</t>
  </si>
  <si>
    <t>Custo do investimento das Holdings no CPC 19</t>
  </si>
  <si>
    <t xml:space="preserve">Custo de Investimento nas Holdings - CPC 19 </t>
  </si>
  <si>
    <t xml:space="preserve">Mais-valia da CNP </t>
  </si>
  <si>
    <t>Preço de venda a valor justo</t>
  </si>
  <si>
    <t>Alíquota IR - ganho de capital da PF</t>
  </si>
  <si>
    <t>Imposto na venda dos 60%</t>
  </si>
  <si>
    <t>Venda PJ</t>
  </si>
  <si>
    <t>Venda PF</t>
  </si>
  <si>
    <t>Δ</t>
  </si>
  <si>
    <t xml:space="preserve"> Venda PJ </t>
  </si>
  <si>
    <t>Cenário Alternativo (Venda abaixo do valor justo e utilização da perda)</t>
  </si>
  <si>
    <t>IR diferido devido na realização</t>
  </si>
  <si>
    <t xml:space="preserve">Imposto Devido </t>
  </si>
  <si>
    <t>Parcela do custo com IR diferido (CPC 19) ou reflexo neutro (CPC 15)</t>
  </si>
  <si>
    <t>CPC 19: o custo inclui 60% do AVJ de toda a JO; CPC 15: apenas o reflexo da CNP a valor de mercado.</t>
  </si>
  <si>
    <t>Comentários</t>
  </si>
  <si>
    <t>Só o CPC 15 permite capturar a alíquota de 22,5%, no CPC 19 o imposto diferido fica na Holding.</t>
  </si>
  <si>
    <r>
      <rPr>
        <b/>
        <sz val="11"/>
        <color theme="1"/>
        <rFont val="Aptos Narrow"/>
        <family val="2"/>
        <scheme val="minor"/>
      </rPr>
      <t>RISCO 1:</t>
    </r>
    <r>
      <rPr>
        <sz val="11"/>
        <color theme="1"/>
        <rFont val="Aptos Narrow"/>
        <family val="2"/>
        <scheme val="minor"/>
      </rPr>
      <t xml:space="preserve"> o fisco não aceita nenhuma camada do reflexo — resta apenas o custo original remanescente</t>
    </r>
  </si>
  <si>
    <r>
      <rPr>
        <b/>
        <sz val="11"/>
        <color theme="1"/>
        <rFont val="Aptos Narrow"/>
        <family val="2"/>
        <scheme val="minor"/>
      </rPr>
      <t>RISCO 2:</t>
    </r>
    <r>
      <rPr>
        <sz val="11"/>
        <color theme="1"/>
        <rFont val="Aptos Narrow"/>
        <family val="2"/>
        <scheme val="minor"/>
      </rPr>
      <t xml:space="preserve"> o fisco não aceita a camada da mais-valia — o custo fiscal recua para a base contábil (custo original + reflexo do PL contábil da CNP)</t>
    </r>
  </si>
  <si>
    <t>Analise Hipótetica - Risco CPC 15</t>
  </si>
  <si>
    <t>RISCO 2</t>
  </si>
  <si>
    <t xml:space="preserve">RISCO 1 </t>
  </si>
  <si>
    <t>Δ RISCO 2</t>
  </si>
  <si>
    <t>Δ RISCO 1</t>
  </si>
  <si>
    <t xml:space="preserve">CPC 15 — custo </t>
  </si>
  <si>
    <t>5) Conclusão CPC 15 × CPC 19</t>
  </si>
  <si>
    <t>CPC 15 - Analise Hipotética</t>
  </si>
  <si>
    <t>CPC 15 — Combinação de Negócios</t>
  </si>
  <si>
    <t>1) Custo do Investimento das Holdings (CPC 15 × CPC 19)</t>
  </si>
  <si>
    <t>3) Cálculo do Ganho de Capital</t>
  </si>
  <si>
    <t>CPC 19 — Joint Operation</t>
  </si>
  <si>
    <t>2) Venda futura dos 60% — PJ x PF</t>
  </si>
  <si>
    <t>Alienação Futura - Analise dos Cenários</t>
  </si>
  <si>
    <t xml:space="preserve">Cálculo da Operação e Ganho de Capital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</si>
</sst>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\ ;&quot; (&quot;#,##0.00\);&quot; -&quot;#\ ;@\ "/>
    <numFmt numFmtId="165" formatCode="_-* #,##0.00_-;\-* #,##0.00_-;_-* \-??_-;_-@_-"/>
    <numFmt numFmtId="166" formatCode="_(* #,##0.00_);_(* \(#,##0.00\);_(* &quot;-&quot;??_);_(@_)"/>
    <numFmt numFmtId="167" formatCode="0.0%"/>
    <numFmt numFmtId="168" formatCode="#,##0.0"/>
    <numFmt numFmtId="169" formatCode="0.0"/>
    <numFmt numFmtId="170" formatCode="#,##0.0;[Red]\(#,##0.0\);\-"/>
    <numFmt numFmtId="171" formatCode="0.0;[Red]\-0.0;&quot;ok&quot;"/>
    <numFmt numFmtId="172" formatCode="#,##0;[Red]\(#,##0\);\-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8"/>
      <name val="Aptos Narrow"/>
      <family val="2"/>
      <scheme val="minor"/>
    </font>
    <font>
      <b/>
      <sz val="10"/>
      <color theme="0"/>
      <name val="Calibri"/>
      <family val="2"/>
    </font>
    <font>
      <i/>
      <sz val="11"/>
      <color theme="1"/>
      <name val="Aptos Narrow"/>
      <family val="2"/>
      <scheme val="minor"/>
    </font>
    <font>
      <i/>
      <sz val="20"/>
      <color theme="1"/>
      <name val="Aptos Narrow"/>
      <family val="2"/>
      <scheme val="minor"/>
    </font>
    <font>
      <b/>
      <sz val="28"/>
      <color rgb="FF40404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1"/>
      <color rgb="FFC0000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35">
    <border>
      <left/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double">
        <color indexed="8"/>
      </top>
      <bottom/>
      <diagonal/>
    </border>
    <border>
      <left style="medium">
        <color indexed="64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medium">
        <color indexed="64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 style="thin">
        <color indexed="8"/>
      </right>
      <top style="double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9" fontId="3" fillId="0" borderId="0"/>
    <xf numFmtId="165" fontId="2" fillId="0" borderId="0" applyFill="0" applyBorder="0" applyAlignment="0" applyProtection="0"/>
    <xf numFmtId="164" fontId="3" fillId="0" borderId="0"/>
    <xf numFmtId="9" fontId="2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77">
    <xf numFmtId="0" fontId="0" fillId="0" borderId="0" xfId="0"/>
    <xf numFmtId="0" fontId="8" fillId="0" borderId="0" xfId="0" applyFont="1" applyAlignment="1">
      <alignment horizontal="center" vertical="center"/>
    </xf>
    <xf numFmtId="4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4" fontId="5" fillId="0" borderId="0" xfId="0" applyNumberFormat="1" applyFont="1" applyAlignment="1" applyProtection="1">
      <alignment horizontal="center" vertical="center"/>
      <protection locked="0"/>
    </xf>
    <xf numFmtId="0" fontId="7" fillId="0" borderId="0" xfId="0" quotePrefix="1" applyFont="1" applyAlignment="1">
      <alignment horizontal="center" vertical="center"/>
    </xf>
    <xf numFmtId="10" fontId="0" fillId="0" borderId="0" xfId="0" applyNumberFormat="1"/>
    <xf numFmtId="0" fontId="6" fillId="3" borderId="0" xfId="4" applyFont="1" applyFill="1" applyAlignment="1">
      <alignment horizontal="center" vertical="center" wrapText="1"/>
    </xf>
    <xf numFmtId="0" fontId="5" fillId="3" borderId="0" xfId="4" applyFont="1" applyFill="1" applyAlignment="1">
      <alignment horizontal="center" vertical="center" wrapText="1"/>
    </xf>
    <xf numFmtId="0" fontId="6" fillId="3" borderId="8" xfId="4" applyFont="1" applyFill="1" applyBorder="1" applyAlignment="1">
      <alignment horizontal="center" vertical="center" wrapText="1"/>
    </xf>
    <xf numFmtId="0" fontId="5" fillId="3" borderId="2" xfId="4" applyFont="1" applyFill="1" applyBorder="1" applyAlignment="1">
      <alignment horizontal="center" vertical="center" wrapText="1"/>
    </xf>
    <xf numFmtId="0" fontId="5" fillId="3" borderId="10" xfId="4" applyFont="1" applyFill="1" applyBorder="1" applyAlignment="1">
      <alignment horizontal="center" vertical="center" wrapText="1"/>
    </xf>
    <xf numFmtId="0" fontId="5" fillId="3" borderId="3" xfId="4" applyFont="1" applyFill="1" applyBorder="1" applyAlignment="1">
      <alignment horizontal="center" vertical="center" wrapText="1"/>
    </xf>
    <xf numFmtId="0" fontId="5" fillId="3" borderId="12" xfId="4" applyFont="1" applyFill="1" applyBorder="1" applyAlignment="1">
      <alignment horizontal="center" vertical="center" wrapText="1"/>
    </xf>
    <xf numFmtId="0" fontId="5" fillId="3" borderId="4" xfId="4" applyFont="1" applyFill="1" applyBorder="1" applyAlignment="1">
      <alignment horizontal="center" vertical="center" wrapText="1"/>
    </xf>
    <xf numFmtId="0" fontId="5" fillId="3" borderId="15" xfId="4" applyFont="1" applyFill="1" applyBorder="1" applyAlignment="1">
      <alignment horizontal="center" vertical="center" wrapText="1"/>
    </xf>
    <xf numFmtId="0" fontId="5" fillId="3" borderId="1" xfId="4" applyFont="1" applyFill="1" applyBorder="1" applyAlignment="1">
      <alignment horizontal="center" vertical="center" wrapText="1"/>
    </xf>
    <xf numFmtId="0" fontId="5" fillId="3" borderId="17" xfId="4" applyFont="1" applyFill="1" applyBorder="1" applyAlignment="1">
      <alignment horizontal="center" vertical="center" wrapText="1"/>
    </xf>
    <xf numFmtId="0" fontId="5" fillId="3" borderId="18" xfId="4" applyFont="1" applyFill="1" applyBorder="1" applyAlignment="1">
      <alignment horizontal="center" vertical="center" wrapText="1"/>
    </xf>
    <xf numFmtId="44" fontId="7" fillId="5" borderId="0" xfId="0" applyNumberFormat="1" applyFont="1" applyFill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44" fontId="7" fillId="0" borderId="28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44" fontId="7" fillId="0" borderId="30" xfId="0" applyNumberFormat="1" applyFont="1" applyBorder="1" applyAlignment="1">
      <alignment horizontal="center" vertical="center"/>
    </xf>
    <xf numFmtId="0" fontId="6" fillId="3" borderId="19" xfId="4" applyFont="1" applyFill="1" applyBorder="1" applyAlignment="1">
      <alignment horizontal="center" vertical="center" wrapText="1"/>
    </xf>
    <xf numFmtId="0" fontId="6" fillId="3" borderId="6" xfId="4" applyFont="1" applyFill="1" applyBorder="1" applyAlignment="1">
      <alignment horizontal="center" vertical="center" wrapText="1"/>
    </xf>
    <xf numFmtId="0" fontId="5" fillId="3" borderId="9" xfId="4" applyFont="1" applyFill="1" applyBorder="1" applyAlignment="1">
      <alignment horizontal="center" vertical="center" wrapText="1"/>
    </xf>
    <xf numFmtId="0" fontId="5" fillId="3" borderId="11" xfId="4" applyFont="1" applyFill="1" applyBorder="1" applyAlignment="1">
      <alignment horizontal="center" vertical="center" wrapText="1"/>
    </xf>
    <xf numFmtId="0" fontId="5" fillId="3" borderId="13" xfId="4" applyFont="1" applyFill="1" applyBorder="1" applyAlignment="1">
      <alignment horizontal="center" vertical="center" wrapText="1"/>
    </xf>
    <xf numFmtId="0" fontId="5" fillId="3" borderId="14" xfId="4" applyFont="1" applyFill="1" applyBorder="1" applyAlignment="1">
      <alignment horizontal="center" vertical="center" wrapText="1"/>
    </xf>
    <xf numFmtId="0" fontId="5" fillId="3" borderId="7" xfId="4" applyFont="1" applyFill="1" applyBorder="1" applyAlignment="1">
      <alignment horizontal="center" vertical="center" wrapText="1"/>
    </xf>
    <xf numFmtId="0" fontId="5" fillId="3" borderId="16" xfId="4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/>
    </xf>
    <xf numFmtId="0" fontId="7" fillId="6" borderId="27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44" fontId="7" fillId="6" borderId="28" xfId="1" applyNumberFormat="1" applyFont="1" applyFill="1" applyBorder="1" applyAlignment="1">
      <alignment horizontal="center" vertical="center"/>
    </xf>
    <xf numFmtId="44" fontId="7" fillId="0" borderId="28" xfId="1" applyNumberFormat="1" applyFont="1" applyFill="1" applyBorder="1" applyAlignment="1">
      <alignment horizontal="center" vertical="center"/>
    </xf>
    <xf numFmtId="0" fontId="9" fillId="3" borderId="0" xfId="4" applyFont="1" applyFill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44" fontId="7" fillId="5" borderId="28" xfId="1" applyNumberFormat="1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44" fontId="7" fillId="0" borderId="30" xfId="1" applyNumberFormat="1" applyFont="1" applyFill="1" applyBorder="1" applyAlignment="1">
      <alignment horizontal="center" vertical="center"/>
    </xf>
    <xf numFmtId="44" fontId="7" fillId="0" borderId="0" xfId="1" applyNumberFormat="1" applyFont="1" applyFill="1" applyBorder="1" applyAlignment="1">
      <alignment horizontal="center" vertical="center"/>
    </xf>
    <xf numFmtId="0" fontId="9" fillId="3" borderId="5" xfId="4" applyFont="1" applyFill="1" applyBorder="1" applyAlignment="1">
      <alignment horizontal="center" vertical="center"/>
    </xf>
    <xf numFmtId="0" fontId="9" fillId="3" borderId="17" xfId="4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44" fontId="7" fillId="5" borderId="30" xfId="1" applyNumberFormat="1" applyFont="1" applyFill="1" applyBorder="1" applyAlignment="1">
      <alignment horizontal="center" vertical="center"/>
    </xf>
    <xf numFmtId="44" fontId="7" fillId="4" borderId="23" xfId="1" applyNumberFormat="1" applyFont="1" applyFill="1" applyBorder="1" applyAlignment="1">
      <alignment horizontal="center" vertical="center"/>
    </xf>
    <xf numFmtId="44" fontId="7" fillId="5" borderId="30" xfId="0" applyNumberFormat="1" applyFont="1" applyFill="1" applyBorder="1" applyAlignment="1">
      <alignment horizontal="center" vertical="center"/>
    </xf>
    <xf numFmtId="44" fontId="7" fillId="6" borderId="30" xfId="1" applyNumberFormat="1" applyFont="1" applyFill="1" applyBorder="1" applyAlignment="1">
      <alignment horizontal="center" vertical="center"/>
    </xf>
    <xf numFmtId="44" fontId="7" fillId="6" borderId="23" xfId="1" applyNumberFormat="1" applyFont="1" applyFill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44" fontId="7" fillId="5" borderId="28" xfId="0" applyNumberFormat="1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44" fontId="5" fillId="3" borderId="0" xfId="4" applyNumberFormat="1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7" fillId="3" borderId="0" xfId="0" quotePrefix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44" fontId="5" fillId="3" borderId="0" xfId="0" applyNumberFormat="1" applyFont="1" applyFill="1" applyAlignment="1" applyProtection="1">
      <alignment horizontal="center" vertical="center"/>
      <protection locked="0"/>
    </xf>
    <xf numFmtId="44" fontId="7" fillId="3" borderId="0" xfId="0" applyNumberFormat="1" applyFont="1" applyFill="1" applyAlignment="1">
      <alignment horizontal="center" vertical="center"/>
    </xf>
    <xf numFmtId="0" fontId="7" fillId="6" borderId="27" xfId="0" quotePrefix="1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44" fontId="5" fillId="2" borderId="26" xfId="0" applyNumberFormat="1" applyFont="1" applyFill="1" applyBorder="1" applyAlignment="1" applyProtection="1">
      <alignment horizontal="center" vertical="center"/>
      <protection locked="0"/>
    </xf>
    <xf numFmtId="0" fontId="8" fillId="2" borderId="27" xfId="0" applyFont="1" applyFill="1" applyBorder="1" applyAlignment="1">
      <alignment horizontal="center" vertical="center"/>
    </xf>
    <xf numFmtId="44" fontId="5" fillId="2" borderId="30" xfId="0" applyNumberFormat="1" applyFont="1" applyFill="1" applyBorder="1" applyAlignment="1" applyProtection="1">
      <alignment horizontal="center" vertical="center"/>
      <protection locked="0"/>
    </xf>
    <xf numFmtId="0" fontId="8" fillId="0" borderId="21" xfId="0" applyFont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8" fillId="6" borderId="27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horizontal="center" vertical="center"/>
    </xf>
    <xf numFmtId="44" fontId="7" fillId="5" borderId="23" xfId="1" applyNumberFormat="1" applyFont="1" applyFill="1" applyBorder="1" applyAlignment="1">
      <alignment horizontal="center" vertical="center"/>
    </xf>
    <xf numFmtId="0" fontId="7" fillId="5" borderId="27" xfId="0" quotePrefix="1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horizontal="center" vertical="center"/>
    </xf>
    <xf numFmtId="44" fontId="7" fillId="7" borderId="23" xfId="1" applyNumberFormat="1" applyFont="1" applyFill="1" applyBorder="1" applyAlignment="1">
      <alignment horizontal="center" vertical="center"/>
    </xf>
    <xf numFmtId="44" fontId="7" fillId="6" borderId="26" xfId="1" applyNumberFormat="1" applyFont="1" applyFill="1" applyBorder="1" applyAlignment="1">
      <alignment horizontal="center" vertical="center"/>
    </xf>
    <xf numFmtId="44" fontId="7" fillId="5" borderId="26" xfId="1" applyNumberFormat="1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8" fillId="5" borderId="29" xfId="0" applyFont="1" applyFill="1" applyBorder="1" applyAlignment="1">
      <alignment horizontal="center" vertical="center"/>
    </xf>
    <xf numFmtId="44" fontId="7" fillId="5" borderId="0" xfId="1" applyNumberFormat="1" applyFont="1" applyFill="1" applyBorder="1" applyAlignment="1">
      <alignment horizontal="center" vertical="center"/>
    </xf>
    <xf numFmtId="44" fontId="7" fillId="5" borderId="23" xfId="0" applyNumberFormat="1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6" borderId="29" xfId="0" quotePrefix="1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0" fontId="8" fillId="6" borderId="27" xfId="0" quotePrefix="1" applyFont="1" applyFill="1" applyBorder="1" applyAlignment="1">
      <alignment horizontal="center" vertical="center"/>
    </xf>
    <xf numFmtId="0" fontId="8" fillId="6" borderId="0" xfId="0" quotePrefix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11" fillId="8" borderId="21" xfId="0" applyFont="1" applyFill="1" applyBorder="1" applyAlignment="1">
      <alignment horizontal="center" vertical="center"/>
    </xf>
    <xf numFmtId="0" fontId="11" fillId="8" borderId="22" xfId="0" applyFont="1" applyFill="1" applyBorder="1" applyAlignment="1">
      <alignment horizontal="center" vertical="center"/>
    </xf>
    <xf numFmtId="166" fontId="11" fillId="8" borderId="22" xfId="1" applyNumberFormat="1" applyFont="1" applyFill="1" applyBorder="1" applyAlignment="1">
      <alignment horizontal="center" vertical="center"/>
    </xf>
    <xf numFmtId="14" fontId="11" fillId="8" borderId="23" xfId="1" applyNumberFormat="1" applyFont="1" applyFill="1" applyBorder="1" applyAlignment="1">
      <alignment horizontal="center" vertical="center"/>
    </xf>
    <xf numFmtId="166" fontId="11" fillId="8" borderId="21" xfId="1" applyNumberFormat="1" applyFont="1" applyFill="1" applyBorder="1" applyAlignment="1">
      <alignment horizontal="center" vertical="center"/>
    </xf>
    <xf numFmtId="0" fontId="11" fillId="8" borderId="23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vertical="center" readingOrder="1"/>
    </xf>
    <xf numFmtId="0" fontId="0" fillId="0" borderId="20" xfId="0" applyBorder="1"/>
    <xf numFmtId="0" fontId="12" fillId="3" borderId="0" xfId="0" applyFont="1" applyFill="1"/>
    <xf numFmtId="167" fontId="0" fillId="0" borderId="0" xfId="0" applyNumberFormat="1"/>
    <xf numFmtId="167" fontId="12" fillId="0" borderId="0" xfId="0" applyNumberFormat="1" applyFont="1"/>
    <xf numFmtId="167" fontId="12" fillId="0" borderId="20" xfId="0" applyNumberFormat="1" applyFont="1" applyBorder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9" fontId="0" fillId="0" borderId="0" xfId="10" applyFont="1"/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9" fontId="12" fillId="0" borderId="0" xfId="10" applyFont="1"/>
    <xf numFmtId="167" fontId="16" fillId="0" borderId="0" xfId="0" applyNumberFormat="1" applyFont="1"/>
    <xf numFmtId="167" fontId="15" fillId="0" borderId="0" xfId="0" applyNumberFormat="1" applyFont="1"/>
    <xf numFmtId="0" fontId="15" fillId="0" borderId="25" xfId="0" applyFont="1" applyBorder="1"/>
    <xf numFmtId="0" fontId="16" fillId="6" borderId="25" xfId="0" applyFont="1" applyFill="1" applyBorder="1"/>
    <xf numFmtId="9" fontId="16" fillId="6" borderId="25" xfId="0" applyNumberFormat="1" applyFont="1" applyFill="1" applyBorder="1"/>
    <xf numFmtId="0" fontId="15" fillId="0" borderId="0" xfId="0" applyFont="1"/>
    <xf numFmtId="0" fontId="16" fillId="0" borderId="0" xfId="0" applyFont="1"/>
    <xf numFmtId="0" fontId="16" fillId="6" borderId="22" xfId="0" applyFont="1" applyFill="1" applyBorder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4" fontId="0" fillId="0" borderId="0" xfId="0" applyNumberFormat="1"/>
    <xf numFmtId="164" fontId="17" fillId="0" borderId="0" xfId="0" applyNumberFormat="1" applyFont="1" applyAlignment="1">
      <alignment horizontal="right" vertical="center"/>
    </xf>
    <xf numFmtId="0" fontId="12" fillId="0" borderId="28" xfId="0" applyFont="1" applyBorder="1"/>
    <xf numFmtId="164" fontId="18" fillId="0" borderId="0" xfId="0" applyNumberFormat="1" applyFont="1"/>
    <xf numFmtId="164" fontId="18" fillId="0" borderId="28" xfId="0" applyNumberFormat="1" applyFont="1" applyBorder="1"/>
    <xf numFmtId="0" fontId="15" fillId="6" borderId="22" xfId="0" applyFont="1" applyFill="1" applyBorder="1" applyAlignment="1">
      <alignment horizontal="center" vertical="center"/>
    </xf>
    <xf numFmtId="0" fontId="15" fillId="6" borderId="22" xfId="0" applyFont="1" applyFill="1" applyBorder="1" applyAlignment="1">
      <alignment horizontal="center"/>
    </xf>
    <xf numFmtId="0" fontId="15" fillId="0" borderId="0" xfId="0" applyFont="1" applyAlignment="1">
      <alignment horizontal="left" vertical="center"/>
    </xf>
    <xf numFmtId="0" fontId="15" fillId="0" borderId="28" xfId="0" applyFont="1" applyBorder="1"/>
    <xf numFmtId="0" fontId="15" fillId="0" borderId="0" xfId="0" applyFont="1" applyAlignment="1">
      <alignment horizontal="right" vertical="center"/>
    </xf>
    <xf numFmtId="4" fontId="15" fillId="0" borderId="20" xfId="0" applyNumberFormat="1" applyFont="1" applyBorder="1"/>
    <xf numFmtId="4" fontId="15" fillId="0" borderId="30" xfId="0" applyNumberFormat="1" applyFont="1" applyBorder="1"/>
    <xf numFmtId="4" fontId="15" fillId="0" borderId="0" xfId="0" applyNumberFormat="1" applyFont="1"/>
    <xf numFmtId="0" fontId="12" fillId="0" borderId="0" xfId="0" applyFont="1" applyAlignment="1">
      <alignment horizontal="right" vertical="center"/>
    </xf>
    <xf numFmtId="4" fontId="15" fillId="0" borderId="25" xfId="0" applyNumberFormat="1" applyFont="1" applyBorder="1" applyAlignment="1">
      <alignment vertical="center"/>
    </xf>
    <xf numFmtId="4" fontId="15" fillId="6" borderId="22" xfId="0" applyNumberFormat="1" applyFont="1" applyFill="1" applyBorder="1" applyAlignment="1">
      <alignment vertical="center"/>
    </xf>
    <xf numFmtId="4" fontId="12" fillId="0" borderId="20" xfId="0" applyNumberFormat="1" applyFont="1" applyBorder="1" applyAlignment="1">
      <alignment horizontal="right" vertical="center"/>
    </xf>
    <xf numFmtId="164" fontId="12" fillId="0" borderId="0" xfId="0" applyNumberFormat="1" applyFont="1"/>
    <xf numFmtId="0" fontId="0" fillId="6" borderId="22" xfId="0" applyFill="1" applyBorder="1"/>
    <xf numFmtId="9" fontId="12" fillId="3" borderId="0" xfId="10" applyFont="1" applyFill="1"/>
    <xf numFmtId="0" fontId="15" fillId="6" borderId="0" xfId="0" applyFont="1" applyFill="1"/>
    <xf numFmtId="3" fontId="15" fillId="0" borderId="0" xfId="0" applyNumberFormat="1" applyFont="1"/>
    <xf numFmtId="0" fontId="12" fillId="0" borderId="0" xfId="0" applyFont="1" applyAlignment="1">
      <alignment vertical="center"/>
    </xf>
    <xf numFmtId="167" fontId="12" fillId="0" borderId="0" xfId="0" applyNumberFormat="1" applyFont="1" applyAlignment="1">
      <alignment vertical="center"/>
    </xf>
    <xf numFmtId="167" fontId="15" fillId="0" borderId="25" xfId="0" applyNumberFormat="1" applyFont="1" applyBorder="1"/>
    <xf numFmtId="167" fontId="16" fillId="0" borderId="22" xfId="0" applyNumberFormat="1" applyFont="1" applyBorder="1" applyAlignment="1">
      <alignment vertical="center"/>
    </xf>
    <xf numFmtId="167" fontId="12" fillId="0" borderId="22" xfId="0" applyNumberFormat="1" applyFont="1" applyBorder="1"/>
    <xf numFmtId="167" fontId="16" fillId="0" borderId="25" xfId="0" applyNumberFormat="1" applyFont="1" applyBorder="1" applyAlignment="1">
      <alignment vertical="center"/>
    </xf>
    <xf numFmtId="0" fontId="12" fillId="0" borderId="0" xfId="0" applyFont="1" applyAlignment="1">
      <alignment wrapText="1"/>
    </xf>
    <xf numFmtId="0" fontId="15" fillId="0" borderId="22" xfId="0" applyFont="1" applyBorder="1"/>
    <xf numFmtId="169" fontId="0" fillId="0" borderId="0" xfId="0" applyNumberFormat="1"/>
    <xf numFmtId="169" fontId="15" fillId="0" borderId="0" xfId="0" applyNumberFormat="1" applyFont="1"/>
    <xf numFmtId="0" fontId="16" fillId="6" borderId="31" xfId="0" applyFont="1" applyFill="1" applyBorder="1" applyAlignment="1">
      <alignment horizontal="center" vertical="center"/>
    </xf>
    <xf numFmtId="169" fontId="16" fillId="6" borderId="31" xfId="0" applyNumberFormat="1" applyFont="1" applyFill="1" applyBorder="1" applyAlignment="1">
      <alignment horizontal="right" vertical="center"/>
    </xf>
    <xf numFmtId="167" fontId="16" fillId="6" borderId="31" xfId="0" applyNumberFormat="1" applyFont="1" applyFill="1" applyBorder="1" applyAlignment="1">
      <alignment horizontal="right" vertical="center"/>
    </xf>
    <xf numFmtId="0" fontId="16" fillId="6" borderId="31" xfId="0" applyFont="1" applyFill="1" applyBorder="1" applyAlignment="1">
      <alignment horizontal="right" vertical="center"/>
    </xf>
    <xf numFmtId="168" fontId="16" fillId="6" borderId="31" xfId="0" applyNumberFormat="1" applyFont="1" applyFill="1" applyBorder="1" applyAlignment="1">
      <alignment horizontal="right" vertical="center"/>
    </xf>
    <xf numFmtId="0" fontId="0" fillId="3" borderId="0" xfId="0" applyFill="1"/>
    <xf numFmtId="0" fontId="0" fillId="6" borderId="20" xfId="0" applyFill="1" applyBorder="1"/>
    <xf numFmtId="169" fontId="15" fillId="0" borderId="22" xfId="0" applyNumberFormat="1" applyFont="1" applyBorder="1"/>
    <xf numFmtId="1" fontId="15" fillId="0" borderId="25" xfId="0" applyNumberFormat="1" applyFont="1" applyBorder="1"/>
    <xf numFmtId="169" fontId="15" fillId="6" borderId="31" xfId="0" applyNumberFormat="1" applyFont="1" applyFill="1" applyBorder="1"/>
    <xf numFmtId="167" fontId="15" fillId="6" borderId="31" xfId="0" applyNumberFormat="1" applyFont="1" applyFill="1" applyBorder="1"/>
    <xf numFmtId="0" fontId="15" fillId="6" borderId="31" xfId="0" applyFont="1" applyFill="1" applyBorder="1"/>
    <xf numFmtId="0" fontId="0" fillId="6" borderId="20" xfId="0" applyFill="1" applyBorder="1" applyAlignment="1">
      <alignment horizontal="center" vertical="center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25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5" fillId="6" borderId="20" xfId="0" applyFont="1" applyFill="1" applyBorder="1" applyAlignment="1">
      <alignment horizontal="left" vertical="center" wrapText="1"/>
    </xf>
    <xf numFmtId="0" fontId="15" fillId="6" borderId="20" xfId="0" applyFont="1" applyFill="1" applyBorder="1" applyAlignment="1">
      <alignment horizontal="center" vertical="center" wrapText="1"/>
    </xf>
    <xf numFmtId="170" fontId="0" fillId="0" borderId="0" xfId="0" applyNumberFormat="1" applyAlignment="1">
      <alignment horizontal="center" vertical="center"/>
    </xf>
    <xf numFmtId="170" fontId="12" fillId="0" borderId="0" xfId="0" applyNumberFormat="1" applyFont="1" applyAlignment="1">
      <alignment horizontal="center" vertical="center"/>
    </xf>
    <xf numFmtId="170" fontId="15" fillId="0" borderId="0" xfId="0" applyNumberFormat="1" applyFont="1" applyAlignment="1">
      <alignment horizontal="center" vertical="center"/>
    </xf>
    <xf numFmtId="170" fontId="15" fillId="0" borderId="25" xfId="0" applyNumberFormat="1" applyFont="1" applyBorder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167" fontId="15" fillId="0" borderId="25" xfId="0" applyNumberFormat="1" applyFont="1" applyBorder="1" applyAlignment="1">
      <alignment horizontal="center" vertical="center"/>
    </xf>
    <xf numFmtId="171" fontId="12" fillId="0" borderId="0" xfId="0" applyNumberFormat="1" applyFont="1" applyAlignment="1">
      <alignment horizontal="center" vertical="center"/>
    </xf>
    <xf numFmtId="0" fontId="15" fillId="0" borderId="20" xfId="0" applyFont="1" applyBorder="1" applyAlignment="1">
      <alignment horizontal="center"/>
    </xf>
    <xf numFmtId="167" fontId="12" fillId="0" borderId="0" xfId="10" applyNumberFormat="1" applyFont="1" applyAlignment="1">
      <alignment horizontal="center"/>
    </xf>
    <xf numFmtId="0" fontId="0" fillId="0" borderId="0" xfId="0" applyAlignment="1">
      <alignment horizontal="center"/>
    </xf>
    <xf numFmtId="168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69" fontId="15" fillId="0" borderId="0" xfId="0" applyNumberFormat="1" applyFont="1" applyAlignment="1">
      <alignment horizontal="center"/>
    </xf>
    <xf numFmtId="168" fontId="12" fillId="0" borderId="0" xfId="0" applyNumberFormat="1" applyFont="1" applyAlignment="1">
      <alignment horizontal="center"/>
    </xf>
    <xf numFmtId="169" fontId="12" fillId="0" borderId="0" xfId="0" applyNumberFormat="1" applyFont="1" applyAlignment="1">
      <alignment horizontal="center"/>
    </xf>
    <xf numFmtId="1" fontId="15" fillId="0" borderId="25" xfId="0" applyNumberFormat="1" applyFont="1" applyBorder="1" applyAlignment="1">
      <alignment horizontal="center"/>
    </xf>
    <xf numFmtId="169" fontId="15" fillId="0" borderId="22" xfId="0" applyNumberFormat="1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2" fillId="0" borderId="0" xfId="0" applyFont="1" applyAlignment="1">
      <alignment horizontal="center"/>
    </xf>
    <xf numFmtId="167" fontId="12" fillId="0" borderId="0" xfId="0" applyNumberFormat="1" applyFont="1" applyAlignment="1">
      <alignment horizontal="center"/>
    </xf>
    <xf numFmtId="167" fontId="15" fillId="0" borderId="25" xfId="0" applyNumberFormat="1" applyFont="1" applyBorder="1" applyAlignment="1">
      <alignment horizontal="center"/>
    </xf>
    <xf numFmtId="0" fontId="15" fillId="0" borderId="25" xfId="0" applyFont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12" fillId="0" borderId="0" xfId="0" applyFont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16" fillId="0" borderId="25" xfId="0" applyFont="1" applyBorder="1" applyAlignment="1">
      <alignment horizontal="left" vertical="center"/>
    </xf>
    <xf numFmtId="0" fontId="19" fillId="9" borderId="22" xfId="0" applyFont="1" applyFill="1" applyBorder="1" applyAlignment="1">
      <alignment horizontal="left" vertical="center"/>
    </xf>
    <xf numFmtId="0" fontId="16" fillId="6" borderId="25" xfId="0" applyFont="1" applyFill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0" fontId="16" fillId="0" borderId="22" xfId="0" applyFont="1" applyBorder="1" applyAlignment="1">
      <alignment horizontal="left" vertical="center"/>
    </xf>
    <xf numFmtId="0" fontId="15" fillId="0" borderId="20" xfId="0" applyFont="1" applyBorder="1" applyAlignment="1">
      <alignment horizontal="left" vertical="center"/>
    </xf>
    <xf numFmtId="0" fontId="15" fillId="6" borderId="22" xfId="0" applyFont="1" applyFill="1" applyBorder="1" applyAlignment="1">
      <alignment horizontal="left" vertical="center"/>
    </xf>
    <xf numFmtId="0" fontId="0" fillId="6" borderId="22" xfId="0" applyFill="1" applyBorder="1" applyAlignment="1">
      <alignment horizontal="center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7" fillId="0" borderId="0" xfId="0" quotePrefix="1" applyFont="1" applyAlignment="1">
      <alignment horizontal="center" vertical="center"/>
    </xf>
    <xf numFmtId="0" fontId="7" fillId="0" borderId="27" xfId="0" quotePrefix="1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15" fillId="0" borderId="2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5" fillId="0" borderId="20" xfId="0" applyFont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left" vertical="center" wrapText="1"/>
    </xf>
    <xf numFmtId="3" fontId="15" fillId="3" borderId="0" xfId="0" applyNumberFormat="1" applyFont="1" applyFill="1" applyAlignment="1">
      <alignment horizontal="center" vertical="center"/>
    </xf>
    <xf numFmtId="172" fontId="15" fillId="0" borderId="25" xfId="0" applyNumberFormat="1" applyFont="1" applyBorder="1" applyAlignment="1">
      <alignment horizontal="center" vertical="center"/>
    </xf>
    <xf numFmtId="172" fontId="12" fillId="0" borderId="0" xfId="0" applyNumberFormat="1" applyFont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0" fontId="0" fillId="0" borderId="0" xfId="0" applyBorder="1"/>
    <xf numFmtId="0" fontId="12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 wrapText="1"/>
    </xf>
    <xf numFmtId="172" fontId="15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 wrapText="1"/>
    </xf>
    <xf numFmtId="0" fontId="16" fillId="6" borderId="0" xfId="0" applyFont="1" applyFill="1" applyAlignment="1">
      <alignment horizontal="left" vertical="center" wrapText="1"/>
    </xf>
    <xf numFmtId="170" fontId="21" fillId="6" borderId="0" xfId="0" applyNumberFormat="1" applyFont="1" applyFill="1" applyAlignment="1">
      <alignment horizontal="center" vertical="center"/>
    </xf>
    <xf numFmtId="172" fontId="16" fillId="0" borderId="0" xfId="0" applyNumberFormat="1" applyFont="1" applyAlignment="1">
      <alignment horizontal="center" vertical="center"/>
    </xf>
    <xf numFmtId="0" fontId="15" fillId="6" borderId="29" xfId="0" applyFont="1" applyFill="1" applyBorder="1" applyAlignment="1">
      <alignment horizontal="center" vertical="center"/>
    </xf>
    <xf numFmtId="0" fontId="15" fillId="6" borderId="29" xfId="0" applyFont="1" applyFill="1" applyBorder="1" applyAlignment="1">
      <alignment horizontal="center" vertical="center" wrapText="1"/>
    </xf>
    <xf numFmtId="0" fontId="15" fillId="6" borderId="30" xfId="0" applyFont="1" applyFill="1" applyBorder="1" applyAlignment="1">
      <alignment horizontal="center" vertical="center"/>
    </xf>
    <xf numFmtId="0" fontId="15" fillId="6" borderId="30" xfId="0" applyFont="1" applyFill="1" applyBorder="1" applyAlignment="1">
      <alignment horizontal="center" vertical="center" wrapText="1"/>
    </xf>
    <xf numFmtId="0" fontId="20" fillId="9" borderId="29" xfId="0" applyFont="1" applyFill="1" applyBorder="1" applyAlignment="1">
      <alignment horizontal="center" vertical="center"/>
    </xf>
    <xf numFmtId="0" fontId="20" fillId="9" borderId="30" xfId="0" applyFont="1" applyFill="1" applyBorder="1" applyAlignment="1">
      <alignment horizontal="center" vertical="center"/>
    </xf>
    <xf numFmtId="0" fontId="20" fillId="9" borderId="32" xfId="0" applyFont="1" applyFill="1" applyBorder="1" applyAlignment="1">
      <alignment horizontal="center" vertical="center" wrapText="1"/>
    </xf>
    <xf numFmtId="0" fontId="12" fillId="0" borderId="20" xfId="0" applyFont="1" applyBorder="1" applyAlignment="1">
      <alignment horizontal="left" vertical="center" wrapText="1"/>
    </xf>
    <xf numFmtId="170" fontId="15" fillId="0" borderId="20" xfId="0" applyNumberFormat="1" applyFont="1" applyBorder="1" applyAlignment="1">
      <alignment horizontal="center" vertical="center"/>
    </xf>
    <xf numFmtId="0" fontId="12" fillId="3" borderId="0" xfId="0" applyFont="1" applyFill="1" applyAlignment="1">
      <alignment horizontal="left" vertical="center" wrapText="1"/>
    </xf>
    <xf numFmtId="3" fontId="12" fillId="3" borderId="0" xfId="0" applyNumberFormat="1" applyFont="1" applyFill="1" applyAlignment="1">
      <alignment horizontal="center" vertical="center"/>
    </xf>
    <xf numFmtId="172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5" fillId="6" borderId="29" xfId="0" applyFont="1" applyFill="1" applyBorder="1" applyAlignment="1">
      <alignment horizontal="center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2" borderId="0" xfId="0" applyFont="1" applyFill="1" applyAlignment="1">
      <alignment horizontal="left" vertical="center" wrapText="1"/>
    </xf>
    <xf numFmtId="3" fontId="12" fillId="2" borderId="0" xfId="0" applyNumberFormat="1" applyFont="1" applyFill="1" applyAlignment="1">
      <alignment horizontal="center" vertical="center"/>
    </xf>
    <xf numFmtId="172" fontId="0" fillId="0" borderId="27" xfId="0" applyNumberFormat="1" applyBorder="1" applyAlignment="1">
      <alignment horizontal="center" vertical="center"/>
    </xf>
    <xf numFmtId="172" fontId="0" fillId="0" borderId="29" xfId="0" applyNumberFormat="1" applyBorder="1" applyAlignment="1">
      <alignment horizontal="center" vertical="center"/>
    </xf>
    <xf numFmtId="172" fontId="0" fillId="0" borderId="28" xfId="0" applyNumberFormat="1" applyBorder="1" applyAlignment="1">
      <alignment horizontal="center" vertical="center"/>
    </xf>
    <xf numFmtId="172" fontId="0" fillId="0" borderId="30" xfId="0" applyNumberFormat="1" applyBorder="1" applyAlignment="1">
      <alignment horizontal="center" vertical="center"/>
    </xf>
    <xf numFmtId="172" fontId="15" fillId="0" borderId="31" xfId="0" applyNumberFormat="1" applyFont="1" applyBorder="1" applyAlignment="1">
      <alignment horizontal="center" vertical="center"/>
    </xf>
    <xf numFmtId="172" fontId="15" fillId="0" borderId="31" xfId="0" applyNumberFormat="1" applyFont="1" applyBorder="1" applyAlignment="1">
      <alignment horizontal="center"/>
    </xf>
    <xf numFmtId="172" fontId="15" fillId="0" borderId="33" xfId="0" applyNumberFormat="1" applyFont="1" applyBorder="1" applyAlignment="1">
      <alignment horizontal="center" vertical="center"/>
    </xf>
    <xf numFmtId="172" fontId="15" fillId="0" borderId="33" xfId="0" applyNumberFormat="1" applyFont="1" applyBorder="1" applyAlignment="1">
      <alignment horizontal="center"/>
    </xf>
    <xf numFmtId="172" fontId="15" fillId="0" borderId="0" xfId="0" applyNumberFormat="1" applyFont="1" applyAlignment="1">
      <alignment horizontal="center" vertical="center"/>
    </xf>
    <xf numFmtId="172" fontId="16" fillId="0" borderId="25" xfId="0" applyNumberFormat="1" applyFont="1" applyBorder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0" fillId="0" borderId="20" xfId="0" applyBorder="1" applyAlignment="1">
      <alignment horizontal="center"/>
    </xf>
    <xf numFmtId="0" fontId="12" fillId="0" borderId="27" xfId="0" applyFont="1" applyBorder="1" applyAlignment="1">
      <alignment horizontal="left" vertical="center" wrapText="1"/>
    </xf>
    <xf numFmtId="0" fontId="19" fillId="3" borderId="0" xfId="0" applyFont="1" applyFill="1" applyBorder="1" applyAlignment="1">
      <alignment horizontal="left" vertical="center"/>
    </xf>
    <xf numFmtId="0" fontId="22" fillId="3" borderId="34" xfId="0" applyFont="1" applyFill="1" applyBorder="1" applyAlignment="1">
      <alignment horizontal="left" vertical="center"/>
    </xf>
    <xf numFmtId="0" fontId="23" fillId="0" borderId="34" xfId="0" applyFont="1" applyBorder="1" applyAlignment="1">
      <alignment horizontal="left" vertical="center"/>
    </xf>
    <xf numFmtId="0" fontId="19" fillId="9" borderId="20" xfId="0" applyFont="1" applyFill="1" applyBorder="1" applyAlignment="1">
      <alignment horizontal="left" vertical="center"/>
    </xf>
    <xf numFmtId="0" fontId="23" fillId="0" borderId="0" xfId="0" applyFont="1" applyBorder="1" applyAlignment="1">
      <alignment horizontal="left" vertical="center"/>
    </xf>
  </cellXfs>
  <cellStyles count="12">
    <cellStyle name="Comma" xfId="1" builtinId="3"/>
    <cellStyle name="Excel Built-in Normal" xfId="3" xr:uid="{001729F4-5ACC-4104-A653-55471EC159A8}"/>
    <cellStyle name="Normal" xfId="0" builtinId="0"/>
    <cellStyle name="Normal 10 17" xfId="4" xr:uid="{5B315352-6F17-456B-82B0-65B44BC55EFF}"/>
    <cellStyle name="Normal 2" xfId="2" xr:uid="{6D36085F-648D-43A8-AB1A-88508A194879}"/>
    <cellStyle name="Percent" xfId="10" builtinId="5"/>
    <cellStyle name="Porcentagem 2" xfId="5" xr:uid="{A9A3947E-7A61-4108-8C10-682F9B9FB178}"/>
    <cellStyle name="Porcentagem 3" xfId="8" xr:uid="{C1FCFC8C-8169-485B-82C0-0308CFB08979}"/>
    <cellStyle name="TableStyleLight1" xfId="9" xr:uid="{C78E8FE4-804C-4B1C-906E-C59D6C8CDCFD}"/>
    <cellStyle name="Vírgula 12" xfId="7" xr:uid="{B2194CD6-509D-462D-AD25-EB094A3771E3}"/>
    <cellStyle name="Vírgula 2" xfId="6" xr:uid="{8F9DFE5A-2819-42F0-81B1-2AB9FDA076A1}"/>
    <cellStyle name="Vírgula 3" xfId="11" xr:uid="{A73EE5A9-755B-491E-A699-58F7F7D06C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189699</xdr:colOff>
      <xdr:row>0</xdr:row>
      <xdr:rowOff>149680</xdr:rowOff>
    </xdr:from>
    <xdr:to>
      <xdr:col>20</xdr:col>
      <xdr:colOff>431745</xdr:colOff>
      <xdr:row>28</xdr:row>
      <xdr:rowOff>22772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AD1BD29-7CAF-23CB-CCBE-8F6066673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699" y="149680"/>
          <a:ext cx="14650773" cy="5045456"/>
        </a:xfrm>
        <a:prstGeom prst="rect">
          <a:avLst/>
        </a:prstGeom>
      </xdr:spPr>
    </xdr:pic>
    <xdr:clientData/>
  </xdr:twoCellAnchor>
  <xdr:twoCellAnchor editAs="oneCell">
    <xdr:from>
      <xdr:col>0</xdr:col>
      <xdr:colOff>96050</xdr:colOff>
      <xdr:row>28</xdr:row>
      <xdr:rowOff>54429</xdr:rowOff>
    </xdr:from>
    <xdr:to>
      <xdr:col>20</xdr:col>
      <xdr:colOff>420574</xdr:colOff>
      <xdr:row>57</xdr:row>
      <xdr:rowOff>161895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2AC607-49BF-5C2A-0B7C-856B74960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050" y="5388429"/>
          <a:ext cx="14455142" cy="56300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</xdr:colOff>
      <xdr:row>2</xdr:row>
      <xdr:rowOff>145908</xdr:rowOff>
    </xdr:from>
    <xdr:ext cx="2828149" cy="648190"/>
    <xdr:pic>
      <xdr:nvPicPr>
        <xdr:cNvPr id="2" name="Imagem 1">
          <a:extLst>
            <a:ext uri="{FF2B5EF4-FFF2-40B4-BE49-F238E27FC236}">
              <a16:creationId xmlns:a16="http://schemas.microsoft.com/office/drawing/2014/main" id="{9320E59F-F1FC-4219-BBFE-B9C6BAF53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129" y="512797"/>
          <a:ext cx="2828149" cy="64819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596900</xdr:colOff>
      <xdr:row>1</xdr:row>
      <xdr:rowOff>177800</xdr:rowOff>
    </xdr:from>
    <xdr:ext cx="2828149" cy="648190"/>
    <xdr:pic>
      <xdr:nvPicPr>
        <xdr:cNvPr id="2" name="Imagem 1">
          <a:extLst>
            <a:ext uri="{FF2B5EF4-FFF2-40B4-BE49-F238E27FC236}">
              <a16:creationId xmlns:a16="http://schemas.microsoft.com/office/drawing/2014/main" id="{EE33DAB4-AF20-4113-A50E-05B55628B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900" y="361950"/>
          <a:ext cx="2828149" cy="64819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5</xdr:col>
      <xdr:colOff>2004458</xdr:colOff>
      <xdr:row>47</xdr:row>
      <xdr:rowOff>123317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9D942E-5CF8-02DD-9745-DC34191E7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913" y="2650435"/>
          <a:ext cx="9383434" cy="52585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BD8A-FBE8-4539-94FA-585B4DCA3EA5}">
  <dimension ref="C2"/>
  <sheetViews>
    <sheetView showGridLines="0" zoomScale="70" zoomScaleNormal="70" workbookViewId="0">
      <selection activeCell="X29" sqref="X29"/>
    </sheetView>
  </sheetViews>
  <sheetFormatPr defaultColWidth="8.81640625" defaultRowHeight="14.5" x14ac:dyDescent="0.35"/>
  <cols>
    <col min="3" max="3" width="16.453125" customWidth="1"/>
    <col min="4" max="4" width="32" bestFit="1" customWidth="1"/>
  </cols>
  <sheetData>
    <row r="2" spans="3:3" x14ac:dyDescent="0.35">
      <c r="C2" s="6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7449-9A87-47F1-8BBE-D97626856162}">
  <dimension ref="B4:K97"/>
  <sheetViews>
    <sheetView showGridLines="0" topLeftCell="A74" zoomScale="90" zoomScaleNormal="90" workbookViewId="0">
      <selection activeCell="B26" sqref="B26:K26"/>
    </sheetView>
  </sheetViews>
  <sheetFormatPr defaultColWidth="8.90625" defaultRowHeight="14.5" x14ac:dyDescent="0.35"/>
  <cols>
    <col min="1" max="1" width="7.54296875" customWidth="1"/>
    <col min="2" max="2" width="22.7265625" customWidth="1"/>
    <col min="3" max="3" width="10.54296875" customWidth="1"/>
    <col min="4" max="4" width="11.1796875" bestFit="1" customWidth="1"/>
    <col min="5" max="5" width="12.26953125" customWidth="1"/>
    <col min="6" max="6" width="11" customWidth="1"/>
    <col min="7" max="7" width="12.7265625" customWidth="1"/>
    <col min="8" max="8" width="20.81640625" customWidth="1"/>
    <col min="9" max="9" width="10.81640625" bestFit="1" customWidth="1"/>
    <col min="10" max="10" width="8.6328125" customWidth="1"/>
    <col min="11" max="11" width="12.6328125" bestFit="1" customWidth="1"/>
  </cols>
  <sheetData>
    <row r="4" spans="2:11" ht="26" x14ac:dyDescent="0.6">
      <c r="E4" s="103" t="s">
        <v>276</v>
      </c>
    </row>
    <row r="5" spans="2:11" x14ac:dyDescent="0.35">
      <c r="E5" s="102"/>
    </row>
    <row r="9" spans="2:11" x14ac:dyDescent="0.35">
      <c r="C9" s="105"/>
      <c r="D9" s="105"/>
      <c r="E9" s="105"/>
      <c r="F9" s="105"/>
      <c r="G9" s="105"/>
    </row>
    <row r="10" spans="2:11" ht="18.5" x14ac:dyDescent="0.35">
      <c r="B10" s="205" t="s">
        <v>96</v>
      </c>
      <c r="C10" s="205"/>
      <c r="D10" s="205"/>
      <c r="E10" s="205"/>
      <c r="F10" s="205"/>
      <c r="G10" s="205"/>
      <c r="H10" s="205"/>
      <c r="I10" s="205"/>
      <c r="J10" s="205"/>
      <c r="K10" s="205"/>
    </row>
    <row r="11" spans="2:11" ht="16" customHeight="1" x14ac:dyDescent="0.35">
      <c r="B11" s="104"/>
    </row>
    <row r="12" spans="2:11" x14ac:dyDescent="0.35">
      <c r="B12" s="186" t="s">
        <v>97</v>
      </c>
      <c r="C12" s="186"/>
      <c r="E12" s="186" t="s">
        <v>108</v>
      </c>
      <c r="F12" s="186"/>
      <c r="G12" s="186"/>
      <c r="H12" s="186"/>
      <c r="I12" s="186"/>
    </row>
    <row r="13" spans="2:11" x14ac:dyDescent="0.35">
      <c r="B13" s="147" t="s">
        <v>98</v>
      </c>
      <c r="C13" s="147">
        <v>127</v>
      </c>
      <c r="E13" s="102" t="s">
        <v>102</v>
      </c>
      <c r="I13" s="126" t="s">
        <v>103</v>
      </c>
    </row>
    <row r="14" spans="2:11" x14ac:dyDescent="0.35">
      <c r="B14" s="106" t="s">
        <v>101</v>
      </c>
      <c r="C14" s="106">
        <v>127</v>
      </c>
      <c r="E14" s="102" t="s">
        <v>104</v>
      </c>
      <c r="I14" s="126" t="s">
        <v>105</v>
      </c>
    </row>
    <row r="15" spans="2:11" x14ac:dyDescent="0.35">
      <c r="B15" s="102"/>
      <c r="C15" s="102"/>
      <c r="E15" s="202" t="s">
        <v>106</v>
      </c>
      <c r="F15" s="202"/>
      <c r="G15" s="202"/>
      <c r="H15" s="202"/>
      <c r="I15" s="108">
        <v>0.13800000000000001</v>
      </c>
    </row>
    <row r="16" spans="2:11" x14ac:dyDescent="0.35">
      <c r="B16" s="147" t="s">
        <v>99</v>
      </c>
      <c r="C16" s="147">
        <v>127</v>
      </c>
      <c r="E16" s="102" t="s">
        <v>136</v>
      </c>
      <c r="I16" s="108">
        <v>0.4</v>
      </c>
    </row>
    <row r="17" spans="2:11" x14ac:dyDescent="0.35">
      <c r="B17" s="102" t="s">
        <v>101</v>
      </c>
      <c r="C17" s="102">
        <v>127</v>
      </c>
      <c r="E17" s="210" t="s">
        <v>107</v>
      </c>
      <c r="F17" s="210"/>
      <c r="G17" s="210"/>
      <c r="H17" s="210"/>
      <c r="I17" s="109">
        <v>0.34</v>
      </c>
    </row>
    <row r="18" spans="2:11" ht="8.5" customHeight="1" x14ac:dyDescent="0.35">
      <c r="B18" s="102"/>
      <c r="C18" s="102"/>
    </row>
    <row r="19" spans="2:11" x14ac:dyDescent="0.35">
      <c r="B19" s="147" t="s">
        <v>100</v>
      </c>
      <c r="C19" s="147">
        <v>254</v>
      </c>
    </row>
    <row r="20" spans="2:11" x14ac:dyDescent="0.35">
      <c r="B20" s="106" t="s">
        <v>132</v>
      </c>
      <c r="C20" s="146">
        <f>C16/C19</f>
        <v>0.5</v>
      </c>
    </row>
    <row r="21" spans="2:11" x14ac:dyDescent="0.35">
      <c r="B21" s="106" t="s">
        <v>99</v>
      </c>
      <c r="C21" s="146">
        <f>C16/C19</f>
        <v>0.5</v>
      </c>
    </row>
    <row r="22" spans="2:11" x14ac:dyDescent="0.35">
      <c r="B22" s="102"/>
      <c r="C22" s="102"/>
    </row>
    <row r="23" spans="2:11" x14ac:dyDescent="0.35">
      <c r="B23" s="147" t="s">
        <v>231</v>
      </c>
      <c r="C23" s="147">
        <v>800</v>
      </c>
    </row>
    <row r="24" spans="2:11" x14ac:dyDescent="0.35">
      <c r="B24" s="102" t="s">
        <v>232</v>
      </c>
      <c r="C24" s="102">
        <v>822</v>
      </c>
    </row>
    <row r="26" spans="2:11" ht="19" thickBot="1" x14ac:dyDescent="0.4">
      <c r="B26" s="274" t="s">
        <v>270</v>
      </c>
      <c r="C26" s="274"/>
      <c r="D26" s="274"/>
      <c r="E26" s="274"/>
      <c r="F26" s="274"/>
      <c r="G26" s="274"/>
      <c r="H26" s="274"/>
      <c r="I26" s="274"/>
      <c r="J26" s="274"/>
      <c r="K26" s="274"/>
    </row>
    <row r="27" spans="2:11" ht="19" thickTop="1" x14ac:dyDescent="0.35">
      <c r="B27" s="276"/>
      <c r="C27" s="276"/>
      <c r="D27" s="276"/>
      <c r="E27" s="276"/>
      <c r="F27" s="276"/>
      <c r="G27" s="276"/>
      <c r="H27" s="276"/>
      <c r="I27" s="276"/>
      <c r="J27" s="276"/>
      <c r="K27" s="276"/>
    </row>
    <row r="28" spans="2:11" ht="18.5" x14ac:dyDescent="0.35">
      <c r="B28" s="275" t="s">
        <v>133</v>
      </c>
      <c r="C28" s="275"/>
      <c r="D28" s="275"/>
      <c r="E28" s="275"/>
      <c r="F28" s="275"/>
      <c r="G28" s="275"/>
      <c r="H28" s="275"/>
      <c r="I28" s="275"/>
      <c r="J28" s="275"/>
      <c r="K28" s="275"/>
    </row>
    <row r="30" spans="2:11" x14ac:dyDescent="0.35">
      <c r="B30" s="186" t="s">
        <v>109</v>
      </c>
      <c r="C30" s="186"/>
      <c r="D30" s="186"/>
    </row>
    <row r="31" spans="2:11" x14ac:dyDescent="0.35">
      <c r="B31" s="113"/>
      <c r="C31" s="114" t="s">
        <v>110</v>
      </c>
      <c r="D31" s="115" t="s">
        <v>111</v>
      </c>
    </row>
    <row r="32" spans="2:11" x14ac:dyDescent="0.35">
      <c r="B32" s="102" t="s">
        <v>98</v>
      </c>
      <c r="C32" s="116">
        <v>0.5</v>
      </c>
      <c r="D32" s="117">
        <f>C32*(1-I15)</f>
        <v>0.43099999999999999</v>
      </c>
    </row>
    <row r="33" spans="2:10" x14ac:dyDescent="0.35">
      <c r="B33" s="102" t="s">
        <v>99</v>
      </c>
      <c r="C33" s="116">
        <v>0.5</v>
      </c>
      <c r="D33" s="117">
        <f>C33*(1-I15)</f>
        <v>0.43099999999999999</v>
      </c>
    </row>
    <row r="34" spans="2:10" x14ac:dyDescent="0.35">
      <c r="B34" t="s">
        <v>230</v>
      </c>
      <c r="C34" s="111" t="s">
        <v>95</v>
      </c>
      <c r="D34" s="118">
        <f>I15</f>
        <v>0.13800000000000001</v>
      </c>
    </row>
    <row r="35" spans="2:10" x14ac:dyDescent="0.35">
      <c r="D35" s="151">
        <f>SUM(D32:D34)</f>
        <v>1</v>
      </c>
    </row>
    <row r="36" spans="2:10" x14ac:dyDescent="0.35">
      <c r="D36" s="118"/>
    </row>
    <row r="37" spans="2:10" x14ac:dyDescent="0.35">
      <c r="B37" s="186" t="s">
        <v>114</v>
      </c>
      <c r="C37" s="186"/>
      <c r="D37" s="186"/>
    </row>
    <row r="38" spans="2:10" x14ac:dyDescent="0.35">
      <c r="B38" t="s">
        <v>100</v>
      </c>
      <c r="C38">
        <f>C19</f>
        <v>254</v>
      </c>
      <c r="D38" s="112">
        <f>C38/C$40</f>
        <v>0.23605947955390336</v>
      </c>
    </row>
    <row r="39" spans="2:10" x14ac:dyDescent="0.35">
      <c r="B39" t="s">
        <v>231</v>
      </c>
      <c r="C39">
        <f>C24</f>
        <v>822</v>
      </c>
      <c r="D39" s="112">
        <f>C39/C$40</f>
        <v>0.76394052044609662</v>
      </c>
    </row>
    <row r="40" spans="2:10" x14ac:dyDescent="0.35">
      <c r="B40" s="120" t="s">
        <v>112</v>
      </c>
      <c r="C40" s="120">
        <f>C38+C39</f>
        <v>1076</v>
      </c>
      <c r="D40" s="121">
        <f>D38+D39</f>
        <v>1</v>
      </c>
    </row>
    <row r="42" spans="2:10" x14ac:dyDescent="0.35">
      <c r="B42" s="124" t="s">
        <v>113</v>
      </c>
      <c r="C42" s="124">
        <f>C43+C44+C45</f>
        <v>1076</v>
      </c>
    </row>
    <row r="43" spans="2:10" x14ac:dyDescent="0.35">
      <c r="B43" s="102" t="s">
        <v>98</v>
      </c>
      <c r="C43" s="106">
        <f>D32*C40</f>
        <v>463.75599999999997</v>
      </c>
    </row>
    <row r="44" spans="2:10" x14ac:dyDescent="0.35">
      <c r="B44" s="102" t="s">
        <v>99</v>
      </c>
      <c r="C44" s="106">
        <f>D33*C40</f>
        <v>463.75599999999997</v>
      </c>
    </row>
    <row r="45" spans="2:10" x14ac:dyDescent="0.35">
      <c r="B45" s="102" t="s">
        <v>134</v>
      </c>
      <c r="C45" s="106">
        <f>D34*C40</f>
        <v>148.488</v>
      </c>
    </row>
    <row r="47" spans="2:10" x14ac:dyDescent="0.35">
      <c r="B47" s="186" t="s">
        <v>115</v>
      </c>
      <c r="C47" s="186"/>
      <c r="D47" s="186"/>
      <c r="E47" s="186"/>
      <c r="F47" s="186"/>
      <c r="H47" s="186" t="s">
        <v>126</v>
      </c>
      <c r="I47" s="186"/>
      <c r="J47" s="186"/>
    </row>
    <row r="48" spans="2:10" x14ac:dyDescent="0.35">
      <c r="B48" s="214"/>
      <c r="C48" s="214"/>
      <c r="D48" s="132" t="s">
        <v>98</v>
      </c>
      <c r="E48" s="132" t="s">
        <v>99</v>
      </c>
      <c r="F48" s="133" t="s">
        <v>117</v>
      </c>
      <c r="H48" s="145"/>
      <c r="I48" s="132" t="s">
        <v>128</v>
      </c>
      <c r="J48" s="132" t="s">
        <v>129</v>
      </c>
    </row>
    <row r="49" spans="2:11" x14ac:dyDescent="0.35">
      <c r="B49" s="209" t="s">
        <v>116</v>
      </c>
      <c r="C49" s="209"/>
      <c r="D49" s="122">
        <f>C14</f>
        <v>127</v>
      </c>
      <c r="E49" s="135">
        <f>C14</f>
        <v>127</v>
      </c>
      <c r="F49" s="136">
        <f>D49+E49</f>
        <v>254</v>
      </c>
      <c r="H49" s="102" t="s">
        <v>127</v>
      </c>
      <c r="I49" s="129">
        <f>D50</f>
        <v>411</v>
      </c>
      <c r="J49" s="102"/>
    </row>
    <row r="50" spans="2:11" x14ac:dyDescent="0.35">
      <c r="B50" s="202" t="s">
        <v>118</v>
      </c>
      <c r="C50" s="202"/>
      <c r="D50" s="102">
        <f>C39/2</f>
        <v>411</v>
      </c>
      <c r="E50" s="129">
        <f>C39/2</f>
        <v>411</v>
      </c>
      <c r="F50" s="110">
        <f>D50+E50</f>
        <v>822</v>
      </c>
      <c r="H50" s="102" t="s">
        <v>130</v>
      </c>
      <c r="I50" s="129"/>
      <c r="J50" s="144">
        <f>D51</f>
        <v>-74.244</v>
      </c>
    </row>
    <row r="51" spans="2:11" x14ac:dyDescent="0.35">
      <c r="B51" s="202" t="s">
        <v>119</v>
      </c>
      <c r="C51" s="202"/>
      <c r="D51" s="130">
        <f>-(D49+D50)*I15</f>
        <v>-74.244</v>
      </c>
      <c r="E51" s="131">
        <f>-(E49+E50)*I15</f>
        <v>-74.244</v>
      </c>
      <c r="F51" s="128">
        <f>D51+E51</f>
        <v>-148.488</v>
      </c>
      <c r="H51" s="208" t="s">
        <v>131</v>
      </c>
      <c r="I51" s="208"/>
      <c r="J51" s="141">
        <f>I49+J50</f>
        <v>336.75599999999997</v>
      </c>
    </row>
    <row r="52" spans="2:11" x14ac:dyDescent="0.35">
      <c r="B52" s="212" t="s">
        <v>120</v>
      </c>
      <c r="C52" s="212"/>
      <c r="D52" s="137">
        <f>D50+D51</f>
        <v>336.75599999999997</v>
      </c>
      <c r="E52" s="138">
        <f>E50+E51</f>
        <v>336.75599999999997</v>
      </c>
      <c r="F52" s="137">
        <f>D52+E52</f>
        <v>673.51199999999994</v>
      </c>
    </row>
    <row r="53" spans="2:11" x14ac:dyDescent="0.35">
      <c r="B53" s="134"/>
      <c r="C53" s="134"/>
      <c r="D53" s="139"/>
      <c r="E53" s="139"/>
      <c r="F53" s="139"/>
    </row>
    <row r="54" spans="2:11" x14ac:dyDescent="0.35">
      <c r="B54" s="186" t="s">
        <v>124</v>
      </c>
      <c r="C54" s="186"/>
      <c r="D54" s="186"/>
      <c r="E54" s="186"/>
      <c r="F54" s="122"/>
    </row>
    <row r="55" spans="2:11" x14ac:dyDescent="0.35">
      <c r="B55" s="213" t="s">
        <v>121</v>
      </c>
      <c r="C55" s="213"/>
      <c r="D55" s="142" t="s">
        <v>125</v>
      </c>
      <c r="E55" s="142">
        <f>2*(D56+D57)</f>
        <v>927.51199999999994</v>
      </c>
    </row>
    <row r="56" spans="2:11" x14ac:dyDescent="0.35">
      <c r="B56" s="202" t="s">
        <v>122</v>
      </c>
      <c r="C56" s="202"/>
      <c r="D56" s="140">
        <f>C14</f>
        <v>127</v>
      </c>
      <c r="E56" s="140">
        <f>C17</f>
        <v>127</v>
      </c>
    </row>
    <row r="57" spans="2:11" x14ac:dyDescent="0.35">
      <c r="B57" s="210" t="s">
        <v>123</v>
      </c>
      <c r="C57" s="210"/>
      <c r="D57" s="143">
        <f>D52</f>
        <v>336.75599999999997</v>
      </c>
      <c r="E57" s="143">
        <f>E52</f>
        <v>336.75599999999997</v>
      </c>
    </row>
    <row r="58" spans="2:11" x14ac:dyDescent="0.35">
      <c r="D58" s="127"/>
      <c r="E58" s="127"/>
    </row>
    <row r="60" spans="2:11" ht="18.5" x14ac:dyDescent="0.35">
      <c r="B60" s="205" t="s">
        <v>137</v>
      </c>
      <c r="C60" s="205"/>
      <c r="D60" s="205"/>
      <c r="E60" s="205"/>
      <c r="F60" s="205"/>
      <c r="G60" s="205"/>
      <c r="H60" s="205"/>
      <c r="I60" s="205"/>
      <c r="J60" s="205"/>
      <c r="K60" s="205"/>
    </row>
    <row r="62" spans="2:11" x14ac:dyDescent="0.35">
      <c r="B62" s="211" t="s">
        <v>152</v>
      </c>
      <c r="C62" s="211"/>
      <c r="D62" s="152">
        <f>D32</f>
        <v>0.43099999999999999</v>
      </c>
    </row>
    <row r="63" spans="2:11" ht="5.5" customHeight="1" x14ac:dyDescent="0.35">
      <c r="B63" s="125"/>
      <c r="C63" s="125"/>
      <c r="D63" s="150"/>
    </row>
    <row r="64" spans="2:11" x14ac:dyDescent="0.35">
      <c r="B64" s="206" t="s">
        <v>135</v>
      </c>
      <c r="C64" s="206"/>
      <c r="D64" s="121">
        <f>I16</f>
        <v>0.4</v>
      </c>
    </row>
    <row r="65" spans="2:11" x14ac:dyDescent="0.35">
      <c r="B65" s="207" t="s">
        <v>138</v>
      </c>
      <c r="C65" s="207"/>
      <c r="D65" s="153">
        <f>I15</f>
        <v>0.13800000000000001</v>
      </c>
    </row>
    <row r="66" spans="2:11" x14ac:dyDescent="0.35">
      <c r="B66" s="208" t="s">
        <v>139</v>
      </c>
      <c r="C66" s="208"/>
      <c r="D66" s="151">
        <f>D64-D65</f>
        <v>0.26200000000000001</v>
      </c>
    </row>
    <row r="67" spans="2:11" x14ac:dyDescent="0.35">
      <c r="B67" s="210" t="s">
        <v>151</v>
      </c>
      <c r="C67" s="210"/>
      <c r="D67" s="109">
        <f>D66/2</f>
        <v>0.13100000000000001</v>
      </c>
    </row>
    <row r="68" spans="2:11" x14ac:dyDescent="0.35">
      <c r="B68" s="209" t="s">
        <v>149</v>
      </c>
      <c r="C68" s="209"/>
      <c r="D68" s="148">
        <v>1200</v>
      </c>
    </row>
    <row r="69" spans="2:11" x14ac:dyDescent="0.35">
      <c r="B69" s="202" t="s">
        <v>98</v>
      </c>
      <c r="C69" s="202"/>
      <c r="D69" s="149">
        <f>D68/2</f>
        <v>600</v>
      </c>
    </row>
    <row r="70" spans="2:11" x14ac:dyDescent="0.35">
      <c r="B70" s="202" t="s">
        <v>99</v>
      </c>
      <c r="C70" s="202"/>
      <c r="D70" s="149">
        <f>D68/2</f>
        <v>600</v>
      </c>
    </row>
    <row r="71" spans="2:11" x14ac:dyDescent="0.35">
      <c r="B71" s="204" t="s">
        <v>153</v>
      </c>
      <c r="C71" s="204"/>
      <c r="D71" s="154">
        <f>D67/D62</f>
        <v>0.30394431554524365</v>
      </c>
    </row>
    <row r="72" spans="2:11" x14ac:dyDescent="0.35">
      <c r="D72" s="150"/>
    </row>
    <row r="73" spans="2:11" x14ac:dyDescent="0.35">
      <c r="B73" s="186" t="s">
        <v>144</v>
      </c>
      <c r="C73" s="186"/>
      <c r="D73" s="186"/>
      <c r="E73" s="186"/>
      <c r="F73" s="186"/>
    </row>
    <row r="74" spans="2:11" x14ac:dyDescent="0.35">
      <c r="B74" s="113"/>
      <c r="C74" s="115" t="s">
        <v>141</v>
      </c>
      <c r="D74" s="203" t="s">
        <v>142</v>
      </c>
      <c r="E74" s="203"/>
      <c r="F74" s="115" t="s">
        <v>143</v>
      </c>
    </row>
    <row r="75" spans="2:11" x14ac:dyDescent="0.35">
      <c r="B75" s="102" t="s">
        <v>98</v>
      </c>
      <c r="C75" s="108">
        <f>D32</f>
        <v>0.43099999999999999</v>
      </c>
      <c r="D75" s="187">
        <f>-D66/2</f>
        <v>-0.13100000000000001</v>
      </c>
      <c r="E75" s="187"/>
      <c r="F75" s="118">
        <f>C75+D75</f>
        <v>0.3</v>
      </c>
    </row>
    <row r="76" spans="2:11" x14ac:dyDescent="0.35">
      <c r="B76" s="149" t="s">
        <v>99</v>
      </c>
      <c r="C76" s="150">
        <f>D33</f>
        <v>0.43099999999999999</v>
      </c>
      <c r="D76" s="187">
        <f>-D66/2</f>
        <v>-0.13100000000000001</v>
      </c>
      <c r="E76" s="187"/>
      <c r="F76" s="118">
        <f>C76+D76</f>
        <v>0.3</v>
      </c>
    </row>
    <row r="77" spans="2:11" x14ac:dyDescent="0.35">
      <c r="B77" s="102" t="s">
        <v>134</v>
      </c>
      <c r="C77" s="108">
        <f>D34</f>
        <v>0.13800000000000001</v>
      </c>
      <c r="D77" s="198">
        <f>D66</f>
        <v>0.26200000000000001</v>
      </c>
      <c r="E77" s="197"/>
      <c r="F77" s="118">
        <f>C77+D77</f>
        <v>0.4</v>
      </c>
    </row>
    <row r="78" spans="2:11" x14ac:dyDescent="0.35">
      <c r="B78" s="119" t="s">
        <v>140</v>
      </c>
      <c r="C78" s="151">
        <f>SUM(C75:C77)</f>
        <v>1</v>
      </c>
      <c r="D78" s="199">
        <f>SUM(D75:E77)</f>
        <v>0</v>
      </c>
      <c r="E78" s="200"/>
      <c r="F78" s="151">
        <f>SUM(F75:F77)</f>
        <v>1</v>
      </c>
    </row>
    <row r="80" spans="2:11" ht="18.5" x14ac:dyDescent="0.35">
      <c r="B80" s="205" t="s">
        <v>272</v>
      </c>
      <c r="C80" s="205"/>
      <c r="D80" s="205"/>
      <c r="E80" s="205"/>
      <c r="F80" s="205"/>
      <c r="G80" s="205"/>
      <c r="H80" s="205"/>
      <c r="I80" s="205"/>
      <c r="J80" s="205"/>
      <c r="K80" s="205"/>
    </row>
    <row r="82" spans="2:11" x14ac:dyDescent="0.35">
      <c r="B82" s="186" t="s">
        <v>161</v>
      </c>
      <c r="C82" s="186"/>
      <c r="D82" s="186"/>
      <c r="E82" s="186"/>
      <c r="F82" s="186"/>
      <c r="G82" s="186"/>
      <c r="I82" s="186" t="s">
        <v>162</v>
      </c>
      <c r="J82" s="186"/>
      <c r="K82" s="186"/>
    </row>
    <row r="83" spans="2:11" x14ac:dyDescent="0.35">
      <c r="B83" s="165" t="s">
        <v>147</v>
      </c>
      <c r="C83" s="201" t="s">
        <v>146</v>
      </c>
      <c r="D83" s="201"/>
      <c r="E83" s="201" t="s">
        <v>145</v>
      </c>
      <c r="F83" s="201"/>
      <c r="G83" s="164"/>
      <c r="I83" s="171" t="s">
        <v>163</v>
      </c>
      <c r="J83" s="171" t="s">
        <v>164</v>
      </c>
    </row>
    <row r="84" spans="2:11" x14ac:dyDescent="0.35">
      <c r="B84" t="s">
        <v>148</v>
      </c>
      <c r="C84" s="188">
        <v>600</v>
      </c>
      <c r="D84" s="188"/>
      <c r="E84" s="188">
        <v>600</v>
      </c>
      <c r="F84" s="188"/>
      <c r="I84">
        <f>2*C84</f>
        <v>1200</v>
      </c>
      <c r="J84">
        <f>2*E84</f>
        <v>1200</v>
      </c>
    </row>
    <row r="85" spans="2:11" x14ac:dyDescent="0.35">
      <c r="B85" s="102" t="s">
        <v>150</v>
      </c>
      <c r="C85" s="197">
        <f>C14</f>
        <v>127</v>
      </c>
      <c r="D85" s="197"/>
      <c r="E85" s="192">
        <f>E55/2</f>
        <v>463.75599999999997</v>
      </c>
      <c r="F85" s="192"/>
      <c r="I85">
        <f>2*C85</f>
        <v>254</v>
      </c>
      <c r="J85" s="157">
        <f>2*E85</f>
        <v>927.51199999999994</v>
      </c>
    </row>
    <row r="86" spans="2:11" x14ac:dyDescent="0.35">
      <c r="B86" s="155" t="s">
        <v>154</v>
      </c>
      <c r="C86" s="193">
        <f>C85*D71</f>
        <v>38.600928074245942</v>
      </c>
      <c r="D86" s="193"/>
      <c r="E86" s="193">
        <f>E85*D71</f>
        <v>140.95600000000002</v>
      </c>
      <c r="F86" s="193"/>
      <c r="I86" s="157">
        <f>2*C86</f>
        <v>77.201856148491885</v>
      </c>
      <c r="J86" s="157">
        <f>2*E86</f>
        <v>281.91200000000003</v>
      </c>
    </row>
    <row r="87" spans="2:11" x14ac:dyDescent="0.35">
      <c r="B87" s="119" t="s">
        <v>155</v>
      </c>
      <c r="C87" s="194">
        <f>C84-C86</f>
        <v>561.39907192575401</v>
      </c>
      <c r="D87" s="194"/>
      <c r="E87" s="194">
        <f>E84-E86</f>
        <v>459.04399999999998</v>
      </c>
      <c r="F87" s="194"/>
      <c r="I87" s="167">
        <f>2*C87</f>
        <v>1122.798143851508</v>
      </c>
      <c r="J87" s="167">
        <f>2*E87</f>
        <v>918.08799999999997</v>
      </c>
    </row>
    <row r="88" spans="2:11" x14ac:dyDescent="0.35">
      <c r="C88" s="188"/>
      <c r="D88" s="188"/>
      <c r="E88" s="188"/>
      <c r="F88" s="188"/>
    </row>
    <row r="89" spans="2:11" x14ac:dyDescent="0.35">
      <c r="B89" s="102" t="s">
        <v>156</v>
      </c>
      <c r="C89" s="193">
        <f>C87*34%</f>
        <v>190.87568445475637</v>
      </c>
      <c r="D89" s="193"/>
      <c r="E89" s="193">
        <f>34%*E87</f>
        <v>156.07496</v>
      </c>
      <c r="F89" s="193"/>
      <c r="G89" s="159" t="s">
        <v>160</v>
      </c>
      <c r="I89" s="157">
        <f>2*C89</f>
        <v>381.75136890951273</v>
      </c>
      <c r="J89" s="157">
        <f>2*E89</f>
        <v>312.14992000000001</v>
      </c>
      <c r="K89" s="159" t="s">
        <v>160</v>
      </c>
    </row>
    <row r="90" spans="2:11" x14ac:dyDescent="0.35">
      <c r="B90" s="156" t="s">
        <v>157</v>
      </c>
      <c r="C90" s="195">
        <f>C84-C89</f>
        <v>409.12431554524363</v>
      </c>
      <c r="D90" s="196"/>
      <c r="E90" s="195">
        <f>E84-E89</f>
        <v>443.92503999999997</v>
      </c>
      <c r="F90" s="196"/>
      <c r="G90" s="160">
        <f>E90-C90</f>
        <v>34.800724454756335</v>
      </c>
      <c r="I90" s="166">
        <f>2*C90</f>
        <v>818.24863109048727</v>
      </c>
      <c r="J90" s="166">
        <f>2*E90</f>
        <v>887.85007999999993</v>
      </c>
      <c r="K90" s="168">
        <f>J90-I90</f>
        <v>69.601448909512669</v>
      </c>
    </row>
    <row r="91" spans="2:11" x14ac:dyDescent="0.35">
      <c r="B91" s="102" t="s">
        <v>158</v>
      </c>
      <c r="C91" s="187">
        <f>C89/C84</f>
        <v>0.31812614075792728</v>
      </c>
      <c r="D91" s="187"/>
      <c r="E91" s="187">
        <f>E89/E84</f>
        <v>0.26012493333333336</v>
      </c>
      <c r="F91" s="187"/>
      <c r="G91" s="161">
        <f>C91-E91</f>
        <v>5.8001207424593915E-2</v>
      </c>
      <c r="I91" s="107">
        <f>C91</f>
        <v>0.31812614075792728</v>
      </c>
      <c r="J91" s="107">
        <f>E91</f>
        <v>0.26012493333333336</v>
      </c>
      <c r="K91" s="169">
        <f>I91-J91</f>
        <v>5.8001207424593915E-2</v>
      </c>
    </row>
    <row r="92" spans="2:11" x14ac:dyDescent="0.35">
      <c r="C92" s="188"/>
      <c r="D92" s="188"/>
      <c r="E92" s="188"/>
      <c r="F92" s="188"/>
      <c r="G92" s="162"/>
      <c r="K92" s="170"/>
    </row>
    <row r="93" spans="2:11" x14ac:dyDescent="0.35">
      <c r="B93" s="123" t="s">
        <v>159</v>
      </c>
      <c r="C93" s="191">
        <f>C85-C86</f>
        <v>88.399071925754058</v>
      </c>
      <c r="D93" s="190"/>
      <c r="E93" s="189">
        <f>E85-E86</f>
        <v>322.79999999999995</v>
      </c>
      <c r="F93" s="190"/>
      <c r="G93" s="163">
        <f>E93-C93</f>
        <v>234.40092807424588</v>
      </c>
      <c r="I93" s="158">
        <f>2*C93</f>
        <v>176.79814385150812</v>
      </c>
      <c r="J93" s="122">
        <f>2*E93</f>
        <v>645.59999999999991</v>
      </c>
      <c r="K93" s="168">
        <f>J93-I93</f>
        <v>468.80185614849177</v>
      </c>
    </row>
    <row r="96" spans="2:11" ht="19" thickBot="1" x14ac:dyDescent="0.4">
      <c r="B96" s="274" t="s">
        <v>273</v>
      </c>
      <c r="C96" s="274"/>
      <c r="D96" s="274"/>
      <c r="E96" s="274"/>
      <c r="F96" s="274"/>
      <c r="G96" s="274"/>
      <c r="H96" s="274"/>
      <c r="I96" s="274"/>
      <c r="J96" s="274"/>
      <c r="K96" s="274"/>
    </row>
    <row r="97" ht="15" thickTop="1" x14ac:dyDescent="0.35"/>
  </sheetData>
  <mergeCells count="63">
    <mergeCell ref="B96:K96"/>
    <mergeCell ref="B26:K26"/>
    <mergeCell ref="B28:K28"/>
    <mergeCell ref="B12:C12"/>
    <mergeCell ref="B30:D30"/>
    <mergeCell ref="B37:D37"/>
    <mergeCell ref="B80:K80"/>
    <mergeCell ref="B68:C68"/>
    <mergeCell ref="B67:C67"/>
    <mergeCell ref="B62:C62"/>
    <mergeCell ref="B57:C57"/>
    <mergeCell ref="B54:E54"/>
    <mergeCell ref="B55:C55"/>
    <mergeCell ref="B56:C56"/>
    <mergeCell ref="B10:K10"/>
    <mergeCell ref="B60:K60"/>
    <mergeCell ref="B64:C64"/>
    <mergeCell ref="B65:C65"/>
    <mergeCell ref="B66:C66"/>
    <mergeCell ref="H47:J47"/>
    <mergeCell ref="H51:I51"/>
    <mergeCell ref="B50:C50"/>
    <mergeCell ref="B47:F47"/>
    <mergeCell ref="B51:C51"/>
    <mergeCell ref="B52:C52"/>
    <mergeCell ref="B49:C49"/>
    <mergeCell ref="E15:H15"/>
    <mergeCell ref="E17:H17"/>
    <mergeCell ref="E12:I12"/>
    <mergeCell ref="B48:C48"/>
    <mergeCell ref="C84:D84"/>
    <mergeCell ref="B69:C69"/>
    <mergeCell ref="B70:C70"/>
    <mergeCell ref="D74:E74"/>
    <mergeCell ref="D75:E75"/>
    <mergeCell ref="D76:E76"/>
    <mergeCell ref="B71:C71"/>
    <mergeCell ref="D77:E77"/>
    <mergeCell ref="D78:E78"/>
    <mergeCell ref="B73:F73"/>
    <mergeCell ref="C83:D83"/>
    <mergeCell ref="E83:F83"/>
    <mergeCell ref="C86:D86"/>
    <mergeCell ref="C87:D87"/>
    <mergeCell ref="C88:D88"/>
    <mergeCell ref="C89:D89"/>
    <mergeCell ref="C90:D90"/>
    <mergeCell ref="I82:K82"/>
    <mergeCell ref="E91:F91"/>
    <mergeCell ref="E92:F92"/>
    <mergeCell ref="E93:F93"/>
    <mergeCell ref="B82:G82"/>
    <mergeCell ref="C91:D91"/>
    <mergeCell ref="C92:D92"/>
    <mergeCell ref="C93:D93"/>
    <mergeCell ref="E84:F84"/>
    <mergeCell ref="E85:F85"/>
    <mergeCell ref="E86:F86"/>
    <mergeCell ref="E87:F87"/>
    <mergeCell ref="E88:F88"/>
    <mergeCell ref="E89:F89"/>
    <mergeCell ref="E90:F90"/>
    <mergeCell ref="C85:D85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G90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Q111"/>
  <sheetViews>
    <sheetView showGridLines="0" tabSelected="1" zoomScale="90" zoomScaleNormal="90" workbookViewId="0">
      <selection activeCell="B92" sqref="B92:K92"/>
    </sheetView>
  </sheetViews>
  <sheetFormatPr defaultColWidth="8.90625" defaultRowHeight="14.5" x14ac:dyDescent="0.35"/>
  <cols>
    <col min="1" max="1" width="7.54296875" customWidth="1"/>
    <col min="2" max="2" width="46.1796875" customWidth="1"/>
    <col min="3" max="3" width="21.7265625" customWidth="1"/>
    <col min="4" max="4" width="16.54296875" customWidth="1"/>
    <col min="5" max="5" width="18" customWidth="1"/>
    <col min="6" max="6" width="16.26953125" customWidth="1"/>
    <col min="7" max="7" width="11.54296875" customWidth="1"/>
    <col min="8" max="8" width="10.54296875" customWidth="1"/>
    <col min="9" max="11" width="9" customWidth="1"/>
  </cols>
  <sheetData>
    <row r="3" spans="2:16" ht="14.5" customHeight="1" x14ac:dyDescent="0.35">
      <c r="C3" s="251" t="s">
        <v>275</v>
      </c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</row>
    <row r="4" spans="2:16" ht="26" customHeight="1" x14ac:dyDescent="0.35"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</row>
    <row r="5" spans="2:16" x14ac:dyDescent="0.35">
      <c r="G5" s="102"/>
    </row>
    <row r="7" spans="2:16" ht="16" customHeight="1" x14ac:dyDescent="0.35">
      <c r="B7" s="177" t="s">
        <v>166</v>
      </c>
      <c r="C7" s="178" t="s">
        <v>167</v>
      </c>
    </row>
    <row r="8" spans="2:16" ht="30" customHeight="1" x14ac:dyDescent="0.35">
      <c r="B8" s="173" t="s">
        <v>106</v>
      </c>
      <c r="C8" s="183">
        <f>'Cálculos da Operação'!I15</f>
        <v>0.13800000000000001</v>
      </c>
      <c r="D8" s="216"/>
      <c r="E8" s="216"/>
      <c r="F8" s="216"/>
      <c r="G8" s="216"/>
      <c r="H8" s="216"/>
    </row>
    <row r="9" spans="2:16" ht="15" customHeight="1" x14ac:dyDescent="0.35">
      <c r="B9" s="173" t="s">
        <v>168</v>
      </c>
      <c r="C9" s="183">
        <f>'Cálculos da Operação'!I16</f>
        <v>0.4</v>
      </c>
      <c r="D9" s="216"/>
      <c r="E9" s="216"/>
      <c r="F9" s="216"/>
      <c r="G9" s="216"/>
      <c r="H9" s="216"/>
    </row>
    <row r="10" spans="2:16" ht="30" customHeight="1" x14ac:dyDescent="0.35">
      <c r="B10" s="173" t="s">
        <v>169</v>
      </c>
      <c r="C10" s="183">
        <f>1-C9</f>
        <v>0.6</v>
      </c>
      <c r="D10" s="216"/>
      <c r="E10" s="216"/>
      <c r="F10" s="216"/>
      <c r="G10" s="216"/>
      <c r="H10" s="216"/>
    </row>
    <row r="11" spans="2:16" ht="30" customHeight="1" x14ac:dyDescent="0.35">
      <c r="B11" s="173" t="s">
        <v>170</v>
      </c>
      <c r="C11" s="183">
        <f>'Cálculos da Operação'!D71</f>
        <v>0.30394431554524365</v>
      </c>
      <c r="D11" s="216"/>
      <c r="E11" s="216"/>
      <c r="F11" s="216"/>
      <c r="G11" s="216"/>
      <c r="H11" s="216"/>
    </row>
    <row r="12" spans="2:16" ht="15" customHeight="1" x14ac:dyDescent="0.35">
      <c r="B12" s="173" t="s">
        <v>107</v>
      </c>
      <c r="C12" s="183">
        <f>'Cálculos da Operação'!I17</f>
        <v>0.34</v>
      </c>
      <c r="D12" s="216"/>
      <c r="E12" s="216"/>
      <c r="F12" s="216"/>
      <c r="G12" s="216"/>
      <c r="H12" s="216"/>
    </row>
    <row r="13" spans="2:16" ht="30" customHeight="1" x14ac:dyDescent="0.35">
      <c r="B13" s="173" t="s">
        <v>171</v>
      </c>
      <c r="C13" s="180">
        <f>'Cálculos da Operação'!C19</f>
        <v>254</v>
      </c>
      <c r="D13" s="216"/>
      <c r="E13" s="216"/>
      <c r="F13" s="216"/>
      <c r="G13" s="216"/>
      <c r="H13" s="216"/>
    </row>
    <row r="14" spans="2:16" ht="30" customHeight="1" x14ac:dyDescent="0.35">
      <c r="B14" s="173" t="s">
        <v>172</v>
      </c>
      <c r="C14" s="180">
        <f>'Cálculos da Operação'!F49</f>
        <v>254</v>
      </c>
      <c r="D14" s="216"/>
      <c r="E14" s="216"/>
      <c r="F14" s="216"/>
      <c r="G14" s="216"/>
      <c r="H14" s="216"/>
    </row>
    <row r="15" spans="2:16" ht="15" customHeight="1" x14ac:dyDescent="0.35">
      <c r="B15" s="173" t="s">
        <v>173</v>
      </c>
      <c r="C15" s="180">
        <f>'Cálculos da Operação'!C23</f>
        <v>800</v>
      </c>
      <c r="D15" s="216"/>
      <c r="E15" s="216"/>
      <c r="F15" s="216"/>
      <c r="G15" s="216"/>
      <c r="H15" s="216"/>
    </row>
    <row r="16" spans="2:16" ht="30" customHeight="1" x14ac:dyDescent="0.35">
      <c r="B16" s="173" t="s">
        <v>174</v>
      </c>
      <c r="C16" s="180">
        <f>'Cálculos da Operação'!C24</f>
        <v>822</v>
      </c>
      <c r="D16" s="216"/>
      <c r="E16" s="216"/>
      <c r="F16" s="216"/>
      <c r="G16" s="216"/>
      <c r="H16" s="216"/>
    </row>
    <row r="17" spans="2:12" ht="30" customHeight="1" x14ac:dyDescent="0.35">
      <c r="B17" s="173" t="s">
        <v>245</v>
      </c>
      <c r="C17" s="180">
        <f>C16-C15</f>
        <v>22</v>
      </c>
      <c r="D17" s="216"/>
      <c r="E17" s="216"/>
      <c r="F17" s="216"/>
      <c r="G17" s="216"/>
      <c r="H17" s="216"/>
    </row>
    <row r="19" spans="2:12" ht="18.5" customHeight="1" x14ac:dyDescent="0.35">
      <c r="B19" s="205" t="s">
        <v>271</v>
      </c>
      <c r="C19" s="205"/>
      <c r="D19" s="205"/>
      <c r="E19" s="205"/>
      <c r="F19" s="205"/>
      <c r="G19" s="205"/>
      <c r="H19" s="205"/>
      <c r="I19" s="205"/>
      <c r="J19" s="205"/>
      <c r="K19" s="205"/>
    </row>
    <row r="20" spans="2:12" ht="18.5" customHeight="1" x14ac:dyDescent="0.35">
      <c r="C20" s="272"/>
      <c r="D20" s="272"/>
      <c r="E20" s="272"/>
      <c r="F20" s="272"/>
      <c r="G20" s="272"/>
      <c r="H20" s="272"/>
      <c r="I20" s="272"/>
      <c r="J20" s="272"/>
      <c r="K20" s="272"/>
      <c r="L20" s="164"/>
    </row>
    <row r="21" spans="2:12" ht="18.5" customHeight="1" thickBot="1" x14ac:dyDescent="0.4">
      <c r="B21" s="273" t="s">
        <v>270</v>
      </c>
      <c r="C21" s="273"/>
      <c r="D21" s="273"/>
      <c r="E21" s="273"/>
      <c r="F21" s="273"/>
      <c r="G21" s="273"/>
      <c r="H21" s="273"/>
      <c r="I21" s="273"/>
      <c r="J21" s="273"/>
      <c r="K21" s="273"/>
      <c r="L21" s="164"/>
    </row>
    <row r="22" spans="2:12" ht="15" thickTop="1" x14ac:dyDescent="0.35"/>
    <row r="23" spans="2:12" ht="16" customHeight="1" x14ac:dyDescent="0.35">
      <c r="B23" s="223" t="s">
        <v>220</v>
      </c>
      <c r="C23" s="223"/>
      <c r="D23" s="223"/>
      <c r="E23" s="223"/>
      <c r="F23" s="223"/>
      <c r="G23" s="223"/>
      <c r="H23" s="222"/>
    </row>
    <row r="24" spans="2:12" ht="29" x14ac:dyDescent="0.35">
      <c r="B24" s="177" t="s">
        <v>175</v>
      </c>
      <c r="C24" s="178" t="s">
        <v>113</v>
      </c>
      <c r="D24" s="178" t="s">
        <v>221</v>
      </c>
      <c r="E24" s="178" t="s">
        <v>222</v>
      </c>
      <c r="F24" s="178" t="s">
        <v>176</v>
      </c>
      <c r="G24" s="178" t="s">
        <v>223</v>
      </c>
    </row>
    <row r="25" spans="2:12" x14ac:dyDescent="0.35">
      <c r="B25" s="173" t="s">
        <v>177</v>
      </c>
      <c r="C25" s="180">
        <f>C13</f>
        <v>254</v>
      </c>
      <c r="D25" s="180">
        <f>C14</f>
        <v>254</v>
      </c>
      <c r="E25" s="180">
        <f>D25*(1-$C$11)</f>
        <v>176.79814385150809</v>
      </c>
      <c r="F25" s="180">
        <f>E25-D25</f>
        <v>-77.201856148491913</v>
      </c>
      <c r="G25" s="126" t="s">
        <v>178</v>
      </c>
    </row>
    <row r="26" spans="2:12" x14ac:dyDescent="0.35">
      <c r="B26" s="173" t="s">
        <v>179</v>
      </c>
      <c r="C26" s="126" t="s">
        <v>178</v>
      </c>
      <c r="D26" s="180">
        <f>-D25*$C$8</f>
        <v>-35.052</v>
      </c>
      <c r="E26" s="180">
        <f>D26*(1-$C$11)</f>
        <v>-24.398143851508117</v>
      </c>
      <c r="F26" s="180">
        <f>E26-D26</f>
        <v>10.653856148491883</v>
      </c>
      <c r="G26" s="180">
        <f>E26*$C$12</f>
        <v>-8.2953689095127601</v>
      </c>
    </row>
    <row r="27" spans="2:12" x14ac:dyDescent="0.35">
      <c r="B27" s="173" t="s">
        <v>180</v>
      </c>
      <c r="C27" s="180">
        <f>C15</f>
        <v>800</v>
      </c>
      <c r="D27" s="180">
        <f>C27*(1-$C$8)</f>
        <v>689.6</v>
      </c>
      <c r="E27" s="180">
        <f>C27*$C$10</f>
        <v>480</v>
      </c>
      <c r="F27" s="180">
        <f>E27-D27</f>
        <v>-209.60000000000002</v>
      </c>
      <c r="G27" s="180">
        <f>E27*$C$12</f>
        <v>163.20000000000002</v>
      </c>
    </row>
    <row r="28" spans="2:12" x14ac:dyDescent="0.35">
      <c r="B28" s="173" t="s">
        <v>181</v>
      </c>
      <c r="C28" s="180">
        <f>C17</f>
        <v>22</v>
      </c>
      <c r="D28" s="180">
        <f>C28*(1-$C$8)</f>
        <v>18.963999999999999</v>
      </c>
      <c r="E28" s="180">
        <f>C28*$C$10</f>
        <v>13.2</v>
      </c>
      <c r="F28" s="180">
        <f>E28-D28</f>
        <v>-5.7639999999999993</v>
      </c>
      <c r="G28" s="180">
        <f>E28*$C$12</f>
        <v>4.4880000000000004</v>
      </c>
    </row>
    <row r="29" spans="2:12" x14ac:dyDescent="0.35">
      <c r="B29" s="175" t="s">
        <v>182</v>
      </c>
      <c r="C29" s="182">
        <f>SUM(C25:C28)</f>
        <v>1076</v>
      </c>
      <c r="D29" s="182">
        <f>SUM(D25:D28)</f>
        <v>927.51199999999994</v>
      </c>
      <c r="E29" s="182">
        <f>SUM(E25:E28)</f>
        <v>645.6</v>
      </c>
      <c r="F29" s="182">
        <f>SUM(F25:F28)</f>
        <v>-281.91200000000003</v>
      </c>
      <c r="G29" s="182">
        <f>SUM(G26:G28)</f>
        <v>159.39263109048727</v>
      </c>
    </row>
    <row r="30" spans="2:12" x14ac:dyDescent="0.35">
      <c r="B30" s="173"/>
      <c r="C30" s="126"/>
      <c r="D30" s="185"/>
      <c r="E30" s="185"/>
      <c r="F30" s="185"/>
      <c r="G30" s="126"/>
    </row>
    <row r="31" spans="2:12" ht="16" customHeight="1" x14ac:dyDescent="0.35">
      <c r="B31" s="223" t="s">
        <v>224</v>
      </c>
      <c r="C31" s="223"/>
      <c r="D31" s="223"/>
      <c r="E31" s="223"/>
      <c r="F31" s="222"/>
      <c r="G31" s="222"/>
      <c r="H31" s="222"/>
    </row>
    <row r="32" spans="2:12" x14ac:dyDescent="0.35">
      <c r="B32" s="177" t="s">
        <v>183</v>
      </c>
      <c r="C32" s="178" t="s">
        <v>167</v>
      </c>
      <c r="D32" s="178" t="s">
        <v>184</v>
      </c>
      <c r="E32" s="178" t="s">
        <v>185</v>
      </c>
    </row>
    <row r="33" spans="2:11" x14ac:dyDescent="0.35">
      <c r="B33" s="173" t="s">
        <v>227</v>
      </c>
      <c r="C33" s="180">
        <f>E25</f>
        <v>176.79814385150809</v>
      </c>
      <c r="D33" s="183">
        <f>C33/$C$36</f>
        <v>0.27385090435487619</v>
      </c>
      <c r="E33" s="126" t="s">
        <v>178</v>
      </c>
    </row>
    <row r="34" spans="2:11" x14ac:dyDescent="0.35">
      <c r="B34" s="173" t="s">
        <v>228</v>
      </c>
      <c r="C34" s="180">
        <f>E27+E26</f>
        <v>455.60185614849189</v>
      </c>
      <c r="D34" s="183">
        <f>C34/$C$36</f>
        <v>0.70570299899084865</v>
      </c>
      <c r="E34" s="180">
        <f>C34*$C$12</f>
        <v>154.90463109048724</v>
      </c>
    </row>
    <row r="35" spans="2:11" x14ac:dyDescent="0.35">
      <c r="B35" s="173" t="s">
        <v>225</v>
      </c>
      <c r="C35" s="180">
        <f>E28</f>
        <v>13.2</v>
      </c>
      <c r="D35" s="183">
        <f>C35/$C$36</f>
        <v>2.0446096654275093E-2</v>
      </c>
      <c r="E35" s="180">
        <f>C35*$C$12</f>
        <v>4.4880000000000004</v>
      </c>
    </row>
    <row r="36" spans="2:11" x14ac:dyDescent="0.35">
      <c r="B36" s="175" t="s">
        <v>226</v>
      </c>
      <c r="C36" s="182">
        <f>SUM(C33:C35)</f>
        <v>645.6</v>
      </c>
      <c r="D36" s="184">
        <f>SUM(D33:D35)</f>
        <v>0.99999999999999989</v>
      </c>
      <c r="E36" s="182">
        <f>SUM(E34:E35)</f>
        <v>159.39263109048724</v>
      </c>
    </row>
    <row r="37" spans="2:11" ht="26" customHeight="1" x14ac:dyDescent="0.35"/>
    <row r="38" spans="2:11" ht="18.5" customHeight="1" thickBot="1" x14ac:dyDescent="0.4">
      <c r="B38" s="273" t="s">
        <v>273</v>
      </c>
      <c r="C38" s="273"/>
      <c r="D38" s="273"/>
      <c r="E38" s="273"/>
      <c r="F38" s="273"/>
      <c r="G38" s="273"/>
      <c r="H38" s="273"/>
      <c r="I38" s="273"/>
      <c r="J38" s="273"/>
      <c r="K38" s="273"/>
    </row>
    <row r="39" spans="2:11" ht="15" thickTop="1" x14ac:dyDescent="0.35"/>
    <row r="40" spans="2:11" ht="16" customHeight="1" x14ac:dyDescent="0.35">
      <c r="B40" s="223" t="s">
        <v>233</v>
      </c>
      <c r="C40" s="223"/>
      <c r="D40" s="222"/>
      <c r="E40" s="222"/>
      <c r="F40" s="222"/>
      <c r="G40" s="222"/>
      <c r="H40" s="222"/>
    </row>
    <row r="41" spans="2:11" x14ac:dyDescent="0.35">
      <c r="B41" s="225" t="s">
        <v>229</v>
      </c>
      <c r="C41" s="226">
        <v>5133</v>
      </c>
      <c r="D41" s="216"/>
      <c r="E41" s="216"/>
      <c r="F41" s="216"/>
      <c r="G41" s="216"/>
      <c r="H41" s="216"/>
    </row>
    <row r="42" spans="2:11" x14ac:dyDescent="0.35">
      <c r="B42" s="225" t="s">
        <v>234</v>
      </c>
      <c r="C42" s="226">
        <f>C16</f>
        <v>822</v>
      </c>
      <c r="D42" s="173"/>
      <c r="E42" s="173"/>
      <c r="F42" s="173"/>
      <c r="G42" s="173"/>
      <c r="H42" s="173"/>
    </row>
    <row r="44" spans="2:11" ht="16" customHeight="1" x14ac:dyDescent="0.35">
      <c r="B44" s="212" t="s">
        <v>235</v>
      </c>
      <c r="C44" s="212"/>
      <c r="D44" s="212"/>
      <c r="E44" s="229"/>
      <c r="F44" s="229"/>
      <c r="G44" s="229"/>
      <c r="H44" s="229"/>
    </row>
    <row r="45" spans="2:11" x14ac:dyDescent="0.35">
      <c r="B45" s="177" t="s">
        <v>186</v>
      </c>
      <c r="C45" s="178" t="s">
        <v>187</v>
      </c>
      <c r="D45" s="178" t="s">
        <v>188</v>
      </c>
      <c r="E45" s="230"/>
      <c r="F45" s="230"/>
      <c r="G45" s="230"/>
      <c r="H45" s="230"/>
    </row>
    <row r="46" spans="2:11" x14ac:dyDescent="0.35">
      <c r="B46" s="173" t="s">
        <v>189</v>
      </c>
      <c r="C46" s="180">
        <f>C41</f>
        <v>5133</v>
      </c>
      <c r="D46" s="180">
        <f>C46*$C$10</f>
        <v>3079.7999999999997</v>
      </c>
      <c r="E46" s="216"/>
      <c r="F46" s="216"/>
      <c r="G46" s="216"/>
      <c r="H46" s="216"/>
    </row>
    <row r="47" spans="2:11" x14ac:dyDescent="0.35">
      <c r="B47" s="173" t="s">
        <v>236</v>
      </c>
      <c r="C47" s="180">
        <f>C42</f>
        <v>822</v>
      </c>
      <c r="D47" s="180">
        <f>C47*$C$10</f>
        <v>493.2</v>
      </c>
      <c r="E47" s="216"/>
      <c r="F47" s="216"/>
      <c r="G47" s="216"/>
      <c r="H47" s="216"/>
    </row>
    <row r="48" spans="2:11" x14ac:dyDescent="0.35">
      <c r="B48" s="175" t="s">
        <v>237</v>
      </c>
      <c r="C48" s="227">
        <f>C46+C47</f>
        <v>5955</v>
      </c>
      <c r="D48" s="227">
        <f>D46+D47</f>
        <v>3572.9999999999995</v>
      </c>
      <c r="E48" s="231" t="s">
        <v>243</v>
      </c>
      <c r="F48" s="231"/>
      <c r="G48" s="231"/>
      <c r="H48" s="231"/>
    </row>
    <row r="49" spans="2:11" x14ac:dyDescent="0.35">
      <c r="B49" s="232"/>
      <c r="C49" s="233"/>
      <c r="D49" s="233"/>
      <c r="E49" s="234"/>
      <c r="F49" s="234"/>
      <c r="G49" s="234"/>
      <c r="H49" s="234"/>
    </row>
    <row r="50" spans="2:11" x14ac:dyDescent="0.35">
      <c r="B50" s="173" t="s">
        <v>242</v>
      </c>
      <c r="C50" s="180">
        <f>C13+C15</f>
        <v>1054</v>
      </c>
      <c r="D50" s="180">
        <f>C50*$C$10</f>
        <v>632.4</v>
      </c>
      <c r="E50" s="216"/>
      <c r="F50" s="216"/>
      <c r="G50" s="216"/>
      <c r="H50" s="216"/>
    </row>
    <row r="51" spans="2:11" x14ac:dyDescent="0.35">
      <c r="B51" s="174" t="s">
        <v>238</v>
      </c>
      <c r="C51" s="181">
        <f>C48-C50</f>
        <v>4901</v>
      </c>
      <c r="D51" s="181">
        <f>D48-D50</f>
        <v>2940.5999999999995</v>
      </c>
      <c r="E51" s="216" t="s">
        <v>239</v>
      </c>
      <c r="F51" s="216"/>
      <c r="G51" s="216"/>
      <c r="H51" s="216"/>
    </row>
    <row r="52" spans="2:11" x14ac:dyDescent="0.35">
      <c r="B52" s="174"/>
      <c r="C52" s="181"/>
      <c r="D52" s="181"/>
      <c r="E52" s="173"/>
      <c r="F52" s="173"/>
      <c r="G52" s="173"/>
      <c r="H52" s="173"/>
    </row>
    <row r="53" spans="2:11" x14ac:dyDescent="0.35">
      <c r="B53" s="235" t="s">
        <v>241</v>
      </c>
      <c r="C53" s="236">
        <f>C51*$C$12</f>
        <v>1666.3400000000001</v>
      </c>
      <c r="D53" s="236">
        <f>D51*$C$12</f>
        <v>999.80399999999986</v>
      </c>
      <c r="E53" s="216" t="s">
        <v>240</v>
      </c>
      <c r="F53" s="216"/>
      <c r="G53" s="216"/>
      <c r="H53" s="216"/>
    </row>
    <row r="55" spans="2:11" x14ac:dyDescent="0.35">
      <c r="B55" s="176" t="s">
        <v>244</v>
      </c>
      <c r="C55" s="237">
        <f>D48</f>
        <v>3572.9999999999995</v>
      </c>
      <c r="D55" s="180"/>
      <c r="E55" s="216"/>
      <c r="F55" s="216"/>
      <c r="G55" s="216"/>
      <c r="H55" s="216"/>
    </row>
    <row r="57" spans="2:11" ht="18.5" customHeight="1" x14ac:dyDescent="0.35">
      <c r="B57" s="205" t="s">
        <v>274</v>
      </c>
      <c r="C57" s="205"/>
      <c r="D57" s="205"/>
      <c r="E57" s="205"/>
      <c r="F57" s="205"/>
      <c r="G57" s="205"/>
      <c r="H57" s="205"/>
      <c r="I57" s="205"/>
      <c r="J57" s="205"/>
      <c r="K57" s="205"/>
    </row>
    <row r="59" spans="2:11" ht="16" customHeight="1" x14ac:dyDescent="0.35">
      <c r="B59" s="223" t="s">
        <v>165</v>
      </c>
      <c r="C59" s="223"/>
      <c r="D59" s="216"/>
      <c r="E59" s="216"/>
      <c r="F59" s="216"/>
      <c r="G59" s="216"/>
      <c r="H59" s="216"/>
    </row>
    <row r="60" spans="2:11" x14ac:dyDescent="0.35">
      <c r="B60" s="247" t="s">
        <v>190</v>
      </c>
      <c r="C60" s="248">
        <v>1000</v>
      </c>
      <c r="D60" s="216"/>
      <c r="E60" s="216"/>
      <c r="F60" s="216"/>
      <c r="G60" s="216"/>
      <c r="H60" s="216"/>
    </row>
    <row r="61" spans="2:11" x14ac:dyDescent="0.35">
      <c r="B61" s="247" t="s">
        <v>246</v>
      </c>
      <c r="C61" s="249">
        <f>D48</f>
        <v>3572.9999999999995</v>
      </c>
      <c r="D61" s="216"/>
      <c r="E61" s="216"/>
      <c r="F61" s="216"/>
      <c r="G61" s="216"/>
      <c r="H61" s="216"/>
    </row>
    <row r="62" spans="2:11" x14ac:dyDescent="0.35">
      <c r="B62" s="247" t="s">
        <v>191</v>
      </c>
      <c r="C62" s="248">
        <v>5000</v>
      </c>
      <c r="D62" s="216"/>
      <c r="E62" s="216"/>
      <c r="F62" s="216"/>
      <c r="G62" s="216"/>
      <c r="H62" s="216"/>
    </row>
    <row r="63" spans="2:11" x14ac:dyDescent="0.35">
      <c r="B63" s="247" t="s">
        <v>247</v>
      </c>
      <c r="C63" s="250">
        <v>0.22500000000000001</v>
      </c>
      <c r="D63" s="216"/>
      <c r="E63" s="216"/>
      <c r="F63" s="216"/>
      <c r="G63" s="216"/>
      <c r="H63" s="216"/>
    </row>
    <row r="64" spans="2:11" x14ac:dyDescent="0.35">
      <c r="B64" s="256" t="s">
        <v>192</v>
      </c>
      <c r="C64" s="257">
        <v>18</v>
      </c>
      <c r="D64" s="216"/>
      <c r="E64" s="216"/>
      <c r="F64" s="216"/>
      <c r="G64" s="216"/>
      <c r="H64" s="216"/>
    </row>
    <row r="65" spans="2:9" x14ac:dyDescent="0.35">
      <c r="B65" s="225"/>
      <c r="C65" s="226"/>
      <c r="D65" s="173"/>
      <c r="E65" s="173"/>
      <c r="F65" s="173"/>
      <c r="G65" s="173"/>
      <c r="H65" s="173"/>
    </row>
    <row r="66" spans="2:9" ht="16" customHeight="1" x14ac:dyDescent="0.35">
      <c r="B66" s="221" t="s">
        <v>248</v>
      </c>
      <c r="C66" s="221"/>
      <c r="D66" s="238" t="s">
        <v>205</v>
      </c>
      <c r="E66" s="240"/>
      <c r="F66" s="238" t="s">
        <v>206</v>
      </c>
      <c r="G66" s="240"/>
      <c r="H66" s="242" t="s">
        <v>251</v>
      </c>
      <c r="I66" s="243"/>
    </row>
    <row r="67" spans="2:9" x14ac:dyDescent="0.35">
      <c r="B67" s="177" t="s">
        <v>193</v>
      </c>
      <c r="C67" s="178" t="s">
        <v>194</v>
      </c>
      <c r="D67" s="239" t="s">
        <v>249</v>
      </c>
      <c r="E67" s="241" t="s">
        <v>250</v>
      </c>
      <c r="F67" s="239" t="s">
        <v>249</v>
      </c>
      <c r="G67" s="241" t="s">
        <v>250</v>
      </c>
      <c r="H67" s="244" t="s">
        <v>252</v>
      </c>
      <c r="I67" s="244" t="s">
        <v>250</v>
      </c>
    </row>
    <row r="68" spans="2:9" ht="16" customHeight="1" x14ac:dyDescent="0.35">
      <c r="B68" s="173" t="s">
        <v>195</v>
      </c>
      <c r="C68" s="181">
        <f>C60</f>
        <v>1000</v>
      </c>
      <c r="D68" s="258">
        <f>(C68-$E$29)*$C$12</f>
        <v>120.496</v>
      </c>
      <c r="E68" s="260">
        <f>(C68-$C$64)*$C$63</f>
        <v>220.95000000000002</v>
      </c>
      <c r="F68" s="258">
        <f>MAX($D$53,(C68-$D$50)*$C$12)</f>
        <v>999.80399999999986</v>
      </c>
      <c r="G68" s="260">
        <f>$D$53+MAX(0,C68-$D$48)*$C$63</f>
        <v>999.80399999999986</v>
      </c>
      <c r="H68" s="262">
        <f>F68-D68</f>
        <v>879.30799999999988</v>
      </c>
      <c r="I68" s="263">
        <f>G68-E68</f>
        <v>778.85399999999981</v>
      </c>
    </row>
    <row r="69" spans="2:9" ht="16" customHeight="1" x14ac:dyDescent="0.35">
      <c r="B69" s="173" t="s">
        <v>196</v>
      </c>
      <c r="C69" s="181">
        <f>C61</f>
        <v>3572.9999999999995</v>
      </c>
      <c r="D69" s="258">
        <f>(C69-$E$29)*$C$12</f>
        <v>995.31599999999992</v>
      </c>
      <c r="E69" s="260">
        <f>(C69-$C$64)*$C$63</f>
        <v>799.87499999999989</v>
      </c>
      <c r="F69" s="258">
        <f>MAX($D$53,(C69-$D$50)*$C$12)</f>
        <v>999.80399999999986</v>
      </c>
      <c r="G69" s="260">
        <f>$D$53+MAX(0,C69-$D$48)*$C$63</f>
        <v>999.80399999999986</v>
      </c>
      <c r="H69" s="262">
        <f>F69-D69</f>
        <v>4.4879999999999427</v>
      </c>
      <c r="I69" s="263">
        <f>G69-E69</f>
        <v>199.92899999999997</v>
      </c>
    </row>
    <row r="70" spans="2:9" ht="16" customHeight="1" x14ac:dyDescent="0.35">
      <c r="B70" s="245" t="s">
        <v>197</v>
      </c>
      <c r="C70" s="246">
        <f>C62</f>
        <v>5000</v>
      </c>
      <c r="D70" s="259">
        <f>(C70-$E$29)*$C$12</f>
        <v>1480.4960000000001</v>
      </c>
      <c r="E70" s="261">
        <f>(C70-$C$64)*$C$63</f>
        <v>1120.95</v>
      </c>
      <c r="F70" s="259">
        <f>MAX($D$53,(C70-$D$50)*$C$12)</f>
        <v>1484.9840000000002</v>
      </c>
      <c r="G70" s="261">
        <f>$D$53+MAX(0,C70-$D$48)*$C$63</f>
        <v>1320.8789999999999</v>
      </c>
      <c r="H70" s="264">
        <f>F70-D70</f>
        <v>4.4880000000000564</v>
      </c>
      <c r="I70" s="265">
        <f>G70-E70</f>
        <v>199.92899999999986</v>
      </c>
    </row>
    <row r="71" spans="2:9" ht="16" customHeight="1" x14ac:dyDescent="0.35">
      <c r="B71" s="173"/>
      <c r="C71" s="181"/>
      <c r="D71" s="179"/>
      <c r="E71" s="179"/>
      <c r="F71" s="179"/>
      <c r="G71" s="179"/>
      <c r="H71" s="181"/>
    </row>
    <row r="73" spans="2:9" ht="16" customHeight="1" x14ac:dyDescent="0.35">
      <c r="B73" s="212" t="s">
        <v>253</v>
      </c>
      <c r="C73" s="212"/>
      <c r="D73" s="229"/>
      <c r="E73" s="229"/>
      <c r="F73" s="229"/>
      <c r="G73" s="229"/>
      <c r="H73" s="229"/>
    </row>
    <row r="74" spans="2:9" ht="16" customHeight="1" x14ac:dyDescent="0.35">
      <c r="B74" s="177" t="s">
        <v>198</v>
      </c>
      <c r="C74" s="178" t="s">
        <v>167</v>
      </c>
      <c r="D74" s="230"/>
      <c r="E74" s="230"/>
      <c r="F74" s="230"/>
      <c r="G74" s="230"/>
      <c r="H74" s="230"/>
    </row>
    <row r="75" spans="2:9" x14ac:dyDescent="0.35">
      <c r="B75" s="173" t="s">
        <v>199</v>
      </c>
      <c r="C75" s="228">
        <f>-D48</f>
        <v>-3572.9999999999995</v>
      </c>
      <c r="D75" s="216"/>
      <c r="E75" s="216"/>
      <c r="F75" s="216"/>
      <c r="G75" s="216"/>
      <c r="H75" s="216"/>
    </row>
    <row r="76" spans="2:9" x14ac:dyDescent="0.35">
      <c r="B76" s="173" t="s">
        <v>200</v>
      </c>
      <c r="C76" s="228">
        <f>C60</f>
        <v>1000</v>
      </c>
      <c r="D76" s="216" t="s">
        <v>69</v>
      </c>
      <c r="E76" s="216"/>
      <c r="F76" s="216"/>
      <c r="G76" s="216"/>
      <c r="H76" s="216"/>
    </row>
    <row r="77" spans="2:9" x14ac:dyDescent="0.35">
      <c r="B77" s="174" t="s">
        <v>201</v>
      </c>
      <c r="C77" s="266">
        <f>C75+C76</f>
        <v>-2572.9999999999995</v>
      </c>
      <c r="D77" s="216"/>
      <c r="E77" s="216"/>
      <c r="F77" s="216"/>
      <c r="G77" s="216"/>
      <c r="H77" s="216"/>
    </row>
    <row r="78" spans="2:9" x14ac:dyDescent="0.35">
      <c r="B78" s="173" t="s">
        <v>254</v>
      </c>
      <c r="C78" s="228">
        <f>D53</f>
        <v>999.80399999999986</v>
      </c>
      <c r="D78" s="216"/>
      <c r="E78" s="216"/>
      <c r="F78" s="216"/>
      <c r="G78" s="216"/>
      <c r="H78" s="216"/>
    </row>
    <row r="79" spans="2:9" x14ac:dyDescent="0.35">
      <c r="B79" s="173" t="s">
        <v>202</v>
      </c>
      <c r="C79" s="228">
        <f>C77*$C$12</f>
        <v>-874.81999999999994</v>
      </c>
      <c r="D79" s="216"/>
      <c r="E79" s="216"/>
      <c r="F79" s="216"/>
      <c r="G79" s="216"/>
      <c r="H79" s="216"/>
    </row>
    <row r="80" spans="2:9" x14ac:dyDescent="0.35">
      <c r="B80" s="175" t="s">
        <v>255</v>
      </c>
      <c r="C80" s="267">
        <f>C78+C79</f>
        <v>124.98399999999992</v>
      </c>
      <c r="D80" s="216"/>
      <c r="E80" s="216"/>
      <c r="F80" s="216"/>
      <c r="G80" s="216"/>
      <c r="H80" s="216"/>
    </row>
    <row r="81" spans="2:17" ht="25.5" customHeight="1" x14ac:dyDescent="0.35"/>
    <row r="82" spans="2:17" x14ac:dyDescent="0.35">
      <c r="B82" s="270" t="s">
        <v>262</v>
      </c>
      <c r="C82" s="270"/>
      <c r="D82" s="270"/>
      <c r="E82" s="270"/>
      <c r="F82" s="270"/>
      <c r="G82" s="270"/>
      <c r="H82" s="270"/>
    </row>
    <row r="83" spans="2:17" x14ac:dyDescent="0.35">
      <c r="B83" s="269" t="s">
        <v>260</v>
      </c>
      <c r="C83" s="172"/>
      <c r="D83" s="172"/>
      <c r="E83" s="172"/>
      <c r="F83" s="172"/>
      <c r="G83" s="172"/>
      <c r="H83" s="172"/>
    </row>
    <row r="84" spans="2:17" x14ac:dyDescent="0.35">
      <c r="B84" t="s">
        <v>261</v>
      </c>
    </row>
    <row r="86" spans="2:17" x14ac:dyDescent="0.35">
      <c r="B86" s="177" t="s">
        <v>193</v>
      </c>
      <c r="C86" s="178" t="s">
        <v>194</v>
      </c>
      <c r="D86" s="178" t="s">
        <v>267</v>
      </c>
      <c r="E86" s="178" t="s">
        <v>263</v>
      </c>
      <c r="F86" s="178" t="s">
        <v>264</v>
      </c>
      <c r="G86" s="178" t="s">
        <v>265</v>
      </c>
      <c r="H86" s="178" t="s">
        <v>266</v>
      </c>
    </row>
    <row r="87" spans="2:17" ht="16" customHeight="1" x14ac:dyDescent="0.35">
      <c r="B87" s="174" t="s">
        <v>203</v>
      </c>
      <c r="C87" s="126" t="s">
        <v>178</v>
      </c>
      <c r="D87" s="237">
        <f>E29</f>
        <v>645.6</v>
      </c>
      <c r="E87" s="237">
        <f>E29-E28</f>
        <v>632.4</v>
      </c>
      <c r="F87" s="237">
        <f>E25</f>
        <v>176.79814385150809</v>
      </c>
      <c r="G87" s="237">
        <f>D87-E87</f>
        <v>13.200000000000045</v>
      </c>
      <c r="H87" s="237">
        <f>D87-F87</f>
        <v>468.80185614849194</v>
      </c>
    </row>
    <row r="88" spans="2:17" ht="16" customHeight="1" x14ac:dyDescent="0.35">
      <c r="B88" s="173" t="s">
        <v>195</v>
      </c>
      <c r="C88" s="266">
        <f>C68</f>
        <v>1000</v>
      </c>
      <c r="D88" s="268">
        <f>(C88-$D$87)*$C$12</f>
        <v>120.496</v>
      </c>
      <c r="E88" s="268">
        <f>(C88-$E$87)*$C$12</f>
        <v>124.98400000000002</v>
      </c>
      <c r="F88" s="268">
        <f>(C88-$F$87)*$C$12</f>
        <v>279.88863109048731</v>
      </c>
      <c r="G88" s="266">
        <f>E88-D88</f>
        <v>4.488000000000028</v>
      </c>
      <c r="H88" s="266">
        <f>F88-D88</f>
        <v>159.39263109048733</v>
      </c>
    </row>
    <row r="89" spans="2:17" ht="16" customHeight="1" x14ac:dyDescent="0.35">
      <c r="B89" s="173" t="s">
        <v>196</v>
      </c>
      <c r="C89" s="266">
        <f>C69</f>
        <v>3572.9999999999995</v>
      </c>
      <c r="D89" s="268">
        <f>(C89-$D$87)*$C$12</f>
        <v>995.31599999999992</v>
      </c>
      <c r="E89" s="268">
        <f>(C89-$E$87)*$C$12</f>
        <v>999.80399999999986</v>
      </c>
      <c r="F89" s="268">
        <f>(C89-$F$87)*$C$12</f>
        <v>1154.7086310904872</v>
      </c>
      <c r="G89" s="266">
        <f>E89-D89</f>
        <v>4.4879999999999427</v>
      </c>
      <c r="H89" s="266">
        <f>F89-D89</f>
        <v>159.39263109048727</v>
      </c>
    </row>
    <row r="90" spans="2:17" ht="16" customHeight="1" x14ac:dyDescent="0.35">
      <c r="B90" s="173" t="s">
        <v>197</v>
      </c>
      <c r="C90" s="266">
        <f>C70</f>
        <v>5000</v>
      </c>
      <c r="D90" s="268">
        <f>(C90-$D$87)*$C$12</f>
        <v>1480.4960000000001</v>
      </c>
      <c r="E90" s="268">
        <f>(C90-$E$87)*$C$12</f>
        <v>1484.9840000000002</v>
      </c>
      <c r="F90" s="268">
        <f>(C90-$F$87)*$C$12</f>
        <v>1639.8886310904875</v>
      </c>
      <c r="G90" s="266">
        <f>E90-D90</f>
        <v>4.4880000000000564</v>
      </c>
      <c r="H90" s="266">
        <f>F90-D90</f>
        <v>159.39263109048738</v>
      </c>
    </row>
    <row r="92" spans="2:17" ht="18.5" customHeight="1" x14ac:dyDescent="0.35">
      <c r="B92" s="205" t="s">
        <v>268</v>
      </c>
      <c r="C92" s="205"/>
      <c r="D92" s="205"/>
      <c r="E92" s="205"/>
      <c r="F92" s="205"/>
      <c r="G92" s="205"/>
      <c r="H92" s="205"/>
      <c r="I92" s="205"/>
      <c r="J92" s="205"/>
      <c r="K92" s="205"/>
    </row>
    <row r="94" spans="2:17" ht="32" customHeight="1" x14ac:dyDescent="0.35">
      <c r="B94" s="177" t="s">
        <v>204</v>
      </c>
      <c r="C94" s="178" t="s">
        <v>205</v>
      </c>
      <c r="D94" s="178" t="s">
        <v>206</v>
      </c>
      <c r="E94" s="178" t="s">
        <v>207</v>
      </c>
      <c r="F94" s="252" t="s">
        <v>258</v>
      </c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</row>
    <row r="95" spans="2:17" ht="30" customHeight="1" x14ac:dyDescent="0.35">
      <c r="B95" s="173" t="s">
        <v>208</v>
      </c>
      <c r="C95" s="179">
        <f>E29</f>
        <v>645.6</v>
      </c>
      <c r="D95" s="179">
        <f>D48</f>
        <v>3572.9999999999995</v>
      </c>
      <c r="E95" s="181">
        <f t="shared" ref="E95:E105" si="0">D95-C95</f>
        <v>2927.3999999999996</v>
      </c>
      <c r="F95" s="253" t="s">
        <v>257</v>
      </c>
      <c r="G95" s="231"/>
      <c r="H95" s="231"/>
      <c r="I95" s="231"/>
      <c r="J95" s="231"/>
      <c r="K95" s="231"/>
      <c r="L95" s="231"/>
      <c r="M95" s="231"/>
      <c r="N95" s="231"/>
      <c r="O95" s="231"/>
      <c r="P95" s="231"/>
      <c r="Q95" s="231"/>
    </row>
    <row r="96" spans="2:17" ht="30" customHeight="1" x14ac:dyDescent="0.35">
      <c r="B96" s="173" t="s">
        <v>256</v>
      </c>
      <c r="C96" s="179">
        <f>C34+C35</f>
        <v>468.80185614849188</v>
      </c>
      <c r="D96" s="179">
        <f>D51</f>
        <v>2940.5999999999995</v>
      </c>
      <c r="E96" s="181">
        <f t="shared" si="0"/>
        <v>2471.7981438515076</v>
      </c>
      <c r="F96" s="253" t="s">
        <v>209</v>
      </c>
      <c r="G96" s="231"/>
      <c r="H96" s="231"/>
      <c r="I96" s="231"/>
      <c r="J96" s="231"/>
      <c r="K96" s="231"/>
      <c r="L96" s="231"/>
      <c r="M96" s="231"/>
      <c r="N96" s="231"/>
      <c r="O96" s="231"/>
      <c r="P96" s="231"/>
      <c r="Q96" s="231"/>
    </row>
    <row r="97" spans="2:17" ht="30" customHeight="1" x14ac:dyDescent="0.35">
      <c r="B97" s="173" t="s">
        <v>210</v>
      </c>
      <c r="C97" s="179">
        <f>E36</f>
        <v>159.39263109048724</v>
      </c>
      <c r="D97" s="179">
        <f>D53</f>
        <v>999.80399999999986</v>
      </c>
      <c r="E97" s="181">
        <f t="shared" si="0"/>
        <v>840.41136890951259</v>
      </c>
      <c r="F97" s="253" t="s">
        <v>211</v>
      </c>
      <c r="G97" s="231"/>
      <c r="H97" s="231"/>
      <c r="I97" s="231"/>
      <c r="J97" s="231"/>
      <c r="K97" s="231"/>
      <c r="L97" s="231"/>
      <c r="M97" s="231"/>
      <c r="N97" s="231"/>
      <c r="O97" s="231"/>
      <c r="P97" s="231"/>
      <c r="Q97" s="231"/>
    </row>
    <row r="98" spans="2:17" ht="16" customHeight="1" x14ac:dyDescent="0.35">
      <c r="B98" s="173"/>
      <c r="C98" s="179"/>
      <c r="D98" s="179"/>
      <c r="E98" s="181"/>
      <c r="F98" s="254"/>
      <c r="G98" s="255"/>
      <c r="H98" s="255"/>
      <c r="I98" s="255"/>
      <c r="J98" s="255"/>
      <c r="K98" s="255"/>
      <c r="L98" s="255"/>
      <c r="M98" s="255"/>
      <c r="N98" s="255"/>
      <c r="O98" s="255"/>
      <c r="P98" s="255"/>
      <c r="Q98" s="255"/>
    </row>
    <row r="99" spans="2:17" ht="30" customHeight="1" x14ac:dyDescent="0.35">
      <c r="B99" s="173" t="s">
        <v>212</v>
      </c>
      <c r="C99" s="179">
        <f>D68</f>
        <v>120.496</v>
      </c>
      <c r="D99" s="179">
        <f>F68</f>
        <v>999.80399999999986</v>
      </c>
      <c r="E99" s="181">
        <f t="shared" si="0"/>
        <v>879.30799999999988</v>
      </c>
      <c r="F99" s="253" t="s">
        <v>213</v>
      </c>
      <c r="G99" s="231"/>
      <c r="H99" s="231"/>
      <c r="I99" s="231"/>
      <c r="J99" s="231"/>
      <c r="K99" s="231"/>
      <c r="L99" s="231"/>
      <c r="M99" s="231"/>
      <c r="N99" s="231"/>
      <c r="O99" s="231"/>
      <c r="P99" s="231"/>
      <c r="Q99" s="231"/>
    </row>
    <row r="100" spans="2:17" ht="30" customHeight="1" x14ac:dyDescent="0.35">
      <c r="B100" s="173" t="s">
        <v>214</v>
      </c>
      <c r="C100" s="179">
        <f>D69</f>
        <v>995.31599999999992</v>
      </c>
      <c r="D100" s="179">
        <f>F69</f>
        <v>999.80399999999986</v>
      </c>
      <c r="E100" s="181">
        <f t="shared" si="0"/>
        <v>4.4879999999999427</v>
      </c>
      <c r="F100" s="253" t="s">
        <v>215</v>
      </c>
      <c r="G100" s="231"/>
      <c r="H100" s="231"/>
      <c r="I100" s="231"/>
      <c r="J100" s="231"/>
      <c r="K100" s="231"/>
      <c r="L100" s="231"/>
      <c r="M100" s="231"/>
      <c r="N100" s="231"/>
      <c r="O100" s="231"/>
      <c r="P100" s="231"/>
      <c r="Q100" s="231"/>
    </row>
    <row r="101" spans="2:17" ht="30" customHeight="1" x14ac:dyDescent="0.35">
      <c r="B101" s="173" t="s">
        <v>216</v>
      </c>
      <c r="C101" s="179">
        <f>D70</f>
        <v>1480.4960000000001</v>
      </c>
      <c r="D101" s="179">
        <f>F70</f>
        <v>1484.9840000000002</v>
      </c>
      <c r="E101" s="181">
        <f t="shared" si="0"/>
        <v>4.4880000000000564</v>
      </c>
      <c r="F101" s="253" t="s">
        <v>217</v>
      </c>
      <c r="G101" s="231"/>
      <c r="H101" s="231"/>
      <c r="I101" s="231"/>
      <c r="J101" s="231"/>
      <c r="K101" s="231"/>
      <c r="L101" s="231"/>
      <c r="M101" s="231"/>
      <c r="N101" s="231"/>
      <c r="O101" s="231"/>
      <c r="P101" s="231"/>
      <c r="Q101" s="231"/>
    </row>
    <row r="102" spans="2:17" ht="16.5" customHeight="1" x14ac:dyDescent="0.35">
      <c r="B102" s="173"/>
      <c r="C102" s="179"/>
      <c r="D102" s="179"/>
      <c r="E102" s="181"/>
      <c r="F102" s="271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</row>
    <row r="103" spans="2:17" ht="30" customHeight="1" x14ac:dyDescent="0.35">
      <c r="B103" s="173" t="s">
        <v>218</v>
      </c>
      <c r="C103" s="179">
        <f>E69</f>
        <v>799.87499999999989</v>
      </c>
      <c r="D103" s="179">
        <f>G69</f>
        <v>999.80399999999986</v>
      </c>
      <c r="E103" s="181">
        <f t="shared" si="0"/>
        <v>199.92899999999997</v>
      </c>
      <c r="F103" s="253" t="s">
        <v>259</v>
      </c>
      <c r="G103" s="231"/>
      <c r="H103" s="231"/>
      <c r="I103" s="231"/>
      <c r="J103" s="231"/>
      <c r="K103" s="231"/>
      <c r="L103" s="231"/>
      <c r="M103" s="231"/>
      <c r="N103" s="231"/>
      <c r="O103" s="231"/>
      <c r="P103" s="231"/>
      <c r="Q103" s="231"/>
    </row>
    <row r="104" spans="2:17" ht="14.5" customHeight="1" x14ac:dyDescent="0.35">
      <c r="B104" s="173"/>
      <c r="C104" s="179"/>
      <c r="D104" s="179"/>
      <c r="E104" s="181"/>
      <c r="F104" s="271"/>
      <c r="G104" s="234"/>
      <c r="H104" s="234"/>
      <c r="I104" s="234"/>
      <c r="J104" s="234"/>
      <c r="K104" s="234"/>
      <c r="L104" s="234"/>
      <c r="M104" s="234"/>
      <c r="N104" s="234"/>
      <c r="O104" s="234"/>
      <c r="P104" s="234"/>
      <c r="Q104" s="234"/>
    </row>
    <row r="105" spans="2:17" ht="30" customHeight="1" x14ac:dyDescent="0.35">
      <c r="B105" s="173" t="s">
        <v>269</v>
      </c>
      <c r="C105" s="179">
        <f>F89</f>
        <v>1154.7086310904872</v>
      </c>
      <c r="D105" s="179">
        <f>F69</f>
        <v>999.80399999999986</v>
      </c>
      <c r="E105" s="181">
        <f t="shared" si="0"/>
        <v>-154.90463109048733</v>
      </c>
      <c r="F105" s="253" t="s">
        <v>219</v>
      </c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</row>
    <row r="106" spans="2:17" ht="19.5" customHeight="1" x14ac:dyDescent="0.35"/>
    <row r="107" spans="2:17" ht="64" customHeight="1" x14ac:dyDescent="0.35">
      <c r="B107" s="217"/>
      <c r="C107" s="217"/>
      <c r="D107" s="217"/>
      <c r="E107" s="217"/>
      <c r="F107" s="217"/>
      <c r="G107" s="217"/>
      <c r="H107" s="217"/>
    </row>
    <row r="108" spans="2:17" ht="64" customHeight="1" x14ac:dyDescent="0.35">
      <c r="B108" s="217"/>
      <c r="C108" s="217"/>
      <c r="D108" s="217"/>
      <c r="E108" s="217"/>
      <c r="F108" s="217"/>
      <c r="G108" s="217"/>
      <c r="H108" s="217"/>
    </row>
    <row r="109" spans="2:17" ht="64" customHeight="1" x14ac:dyDescent="0.35">
      <c r="B109" s="217"/>
      <c r="C109" s="217"/>
      <c r="D109" s="217"/>
      <c r="E109" s="217"/>
      <c r="F109" s="217"/>
      <c r="G109" s="217"/>
      <c r="H109" s="217"/>
    </row>
    <row r="111" spans="2:17" ht="79" customHeight="1" x14ac:dyDescent="0.35">
      <c r="B111" s="215"/>
      <c r="C111" s="215"/>
      <c r="D111" s="215"/>
      <c r="E111" s="215"/>
      <c r="F111" s="215"/>
      <c r="G111" s="215"/>
      <c r="H111" s="215"/>
    </row>
  </sheetData>
  <mergeCells count="60">
    <mergeCell ref="M3:P4"/>
    <mergeCell ref="C3:L4"/>
    <mergeCell ref="F95:Q95"/>
    <mergeCell ref="F94:Q94"/>
    <mergeCell ref="B21:K21"/>
    <mergeCell ref="B108:H108"/>
    <mergeCell ref="B109:H109"/>
    <mergeCell ref="B111:H111"/>
    <mergeCell ref="B23:G23"/>
    <mergeCell ref="B31:E31"/>
    <mergeCell ref="B40:C40"/>
    <mergeCell ref="D66:E66"/>
    <mergeCell ref="F66:G66"/>
    <mergeCell ref="H66:I66"/>
    <mergeCell ref="B59:C59"/>
    <mergeCell ref="D59:H59"/>
    <mergeCell ref="F96:Q96"/>
    <mergeCell ref="F97:Q97"/>
    <mergeCell ref="F99:Q99"/>
    <mergeCell ref="F100:Q100"/>
    <mergeCell ref="F101:Q101"/>
    <mergeCell ref="B107:H107"/>
    <mergeCell ref="F103:Q103"/>
    <mergeCell ref="F105:Q105"/>
    <mergeCell ref="B92:K92"/>
    <mergeCell ref="D76:H76"/>
    <mergeCell ref="D77:H77"/>
    <mergeCell ref="D78:H78"/>
    <mergeCell ref="D79:H79"/>
    <mergeCell ref="D80:H80"/>
    <mergeCell ref="B82:H82"/>
    <mergeCell ref="B73:H73"/>
    <mergeCell ref="D75:H75"/>
    <mergeCell ref="D61:H61"/>
    <mergeCell ref="D62:H62"/>
    <mergeCell ref="D63:H63"/>
    <mergeCell ref="D64:H64"/>
    <mergeCell ref="E55:H55"/>
    <mergeCell ref="B57:K57"/>
    <mergeCell ref="D60:H60"/>
    <mergeCell ref="E51:H51"/>
    <mergeCell ref="E53:H53"/>
    <mergeCell ref="E46:H46"/>
    <mergeCell ref="E47:H47"/>
    <mergeCell ref="E48:H48"/>
    <mergeCell ref="E50:H50"/>
    <mergeCell ref="B38:K38"/>
    <mergeCell ref="D41:H41"/>
    <mergeCell ref="B44:H44"/>
    <mergeCell ref="D17:H17"/>
    <mergeCell ref="B19:K19"/>
    <mergeCell ref="D12:H12"/>
    <mergeCell ref="D13:H13"/>
    <mergeCell ref="D14:H14"/>
    <mergeCell ref="D15:H15"/>
    <mergeCell ref="D16:H16"/>
    <mergeCell ref="D8:H8"/>
    <mergeCell ref="D9:H9"/>
    <mergeCell ref="D10:H10"/>
    <mergeCell ref="D11:H11"/>
  </mergeCells>
  <pageMargins left="0.511811024" right="0.511811024" top="0.78740157499999996" bottom="0.78740157499999996" header="0.31496062000000002" footer="0.31496062000000002"/>
  <pageSetup paperSize="9" fitToHeight="0" orientation="landscape"/>
  <ignoredErrors>
    <ignoredError sqref="D48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CA2C-2836-4D9B-8673-71BC12F496CF}">
  <dimension ref="B2:M27"/>
  <sheetViews>
    <sheetView showGridLines="0" zoomScale="115" zoomScaleNormal="115" workbookViewId="0">
      <selection activeCell="B3" sqref="B3:G3"/>
    </sheetView>
  </sheetViews>
  <sheetFormatPr defaultColWidth="9.08984375" defaultRowHeight="13" x14ac:dyDescent="0.35"/>
  <cols>
    <col min="1" max="1" width="9.08984375" style="3"/>
    <col min="2" max="2" width="36.6328125" style="3" bestFit="1" customWidth="1"/>
    <col min="3" max="3" width="70.08984375" style="3" bestFit="1" customWidth="1"/>
    <col min="4" max="4" width="16" style="2" bestFit="1" customWidth="1"/>
    <col min="5" max="5" width="25.453125" style="3" bestFit="1" customWidth="1"/>
    <col min="6" max="6" width="27.36328125" style="3" bestFit="1" customWidth="1"/>
    <col min="7" max="7" width="16" style="3" customWidth="1"/>
    <col min="8" max="8" width="13.36328125" style="3" customWidth="1"/>
    <col min="9" max="9" width="27.36328125" style="3" bestFit="1" customWidth="1"/>
    <col min="10" max="10" width="15" style="3" bestFit="1" customWidth="1"/>
    <col min="11" max="11" width="17.81640625" style="3" bestFit="1" customWidth="1"/>
    <col min="12" max="13" width="26" style="3" customWidth="1"/>
    <col min="14" max="16384" width="9.08984375" style="3"/>
  </cols>
  <sheetData>
    <row r="2" spans="2:13" x14ac:dyDescent="0.35">
      <c r="C2" s="1"/>
      <c r="D2" s="4"/>
      <c r="E2" s="5"/>
      <c r="F2" s="5"/>
      <c r="G2" s="5"/>
      <c r="H2" s="5"/>
      <c r="I2" s="5"/>
      <c r="J2" s="7"/>
      <c r="K2" s="7" t="s">
        <v>57</v>
      </c>
      <c r="L2" s="7"/>
      <c r="M2" s="7"/>
    </row>
    <row r="3" spans="2:13" x14ac:dyDescent="0.35">
      <c r="B3" s="96" t="s">
        <v>0</v>
      </c>
      <c r="C3" s="97" t="s">
        <v>52</v>
      </c>
      <c r="D3" s="98"/>
      <c r="E3" s="97"/>
      <c r="F3" s="97"/>
      <c r="G3" s="99">
        <v>45627</v>
      </c>
      <c r="H3" s="5"/>
      <c r="I3" s="64" t="s">
        <v>54</v>
      </c>
      <c r="J3" s="65">
        <v>956469.60499999975</v>
      </c>
      <c r="K3" s="5" t="s">
        <v>2</v>
      </c>
      <c r="L3" s="8"/>
      <c r="M3" s="8"/>
    </row>
    <row r="4" spans="2:13" x14ac:dyDescent="0.35">
      <c r="B4" s="69" t="s">
        <v>30</v>
      </c>
      <c r="C4" s="33"/>
      <c r="D4" s="50">
        <f>SUM(D5+D11)</f>
        <v>10218399.67</v>
      </c>
      <c r="E4" s="69" t="s">
        <v>31</v>
      </c>
      <c r="F4" s="33"/>
      <c r="G4" s="50">
        <f>SUM(G5+G10+G13)</f>
        <v>10218399.669999996</v>
      </c>
      <c r="I4" s="66" t="s">
        <v>55</v>
      </c>
      <c r="J4" s="67">
        <v>956469.60499999975</v>
      </c>
      <c r="K4" s="5" t="s">
        <v>2</v>
      </c>
      <c r="L4" s="8"/>
      <c r="M4" s="8"/>
    </row>
    <row r="5" spans="2:13" x14ac:dyDescent="0.35">
      <c r="B5" s="72" t="s">
        <v>32</v>
      </c>
      <c r="C5" s="35"/>
      <c r="D5" s="53">
        <f>SUM(D6:D10)</f>
        <v>1964054.2400000002</v>
      </c>
      <c r="E5" s="70" t="s">
        <v>33</v>
      </c>
      <c r="F5" s="35"/>
      <c r="G5" s="53">
        <f>SUM(G6:G9)</f>
        <v>132218.99</v>
      </c>
      <c r="H5" s="5"/>
      <c r="I5" s="21"/>
      <c r="J5" s="22">
        <f>SUM(J3+J4)</f>
        <v>1912939.2099999995</v>
      </c>
      <c r="L5" s="8"/>
      <c r="M5" s="8"/>
    </row>
    <row r="6" spans="2:13" x14ac:dyDescent="0.35">
      <c r="B6" s="71"/>
      <c r="C6" s="35" t="s">
        <v>34</v>
      </c>
      <c r="D6" s="36">
        <v>2</v>
      </c>
      <c r="E6" s="89"/>
      <c r="F6" s="35" t="s">
        <v>37</v>
      </c>
      <c r="G6" s="36">
        <v>0</v>
      </c>
      <c r="I6" s="23" t="s">
        <v>1</v>
      </c>
      <c r="J6" s="24">
        <v>34739.57</v>
      </c>
      <c r="K6" s="5" t="s">
        <v>2</v>
      </c>
      <c r="L6" s="8"/>
      <c r="M6" s="8"/>
    </row>
    <row r="7" spans="2:13" x14ac:dyDescent="0.35">
      <c r="B7" s="71"/>
      <c r="C7" s="35" t="s">
        <v>42</v>
      </c>
      <c r="D7" s="36">
        <v>1072152.57</v>
      </c>
      <c r="E7" s="89"/>
      <c r="F7" s="35" t="s">
        <v>35</v>
      </c>
      <c r="G7" s="36">
        <v>102122.6</v>
      </c>
      <c r="J7" s="8"/>
      <c r="K7" s="38"/>
      <c r="L7" s="8"/>
      <c r="M7" s="8"/>
    </row>
    <row r="8" spans="2:13" x14ac:dyDescent="0.35">
      <c r="B8" s="71"/>
      <c r="C8" s="35" t="s">
        <v>36</v>
      </c>
      <c r="D8" s="36">
        <v>22442.37</v>
      </c>
      <c r="E8" s="89"/>
      <c r="F8" s="35" t="s">
        <v>38</v>
      </c>
      <c r="G8" s="36">
        <v>30096.39</v>
      </c>
      <c r="J8" s="8"/>
      <c r="K8" s="38"/>
      <c r="L8" s="8"/>
      <c r="M8" s="8"/>
    </row>
    <row r="9" spans="2:13" x14ac:dyDescent="0.35">
      <c r="B9" s="71"/>
      <c r="C9" s="35" t="s">
        <v>43</v>
      </c>
      <c r="D9" s="36">
        <v>326886.99</v>
      </c>
      <c r="E9" s="72"/>
      <c r="F9" s="35" t="s">
        <v>48</v>
      </c>
      <c r="G9" s="52">
        <v>0</v>
      </c>
    </row>
    <row r="10" spans="2:13" x14ac:dyDescent="0.35">
      <c r="B10" s="72"/>
      <c r="C10" s="35" t="s">
        <v>44</v>
      </c>
      <c r="D10" s="52">
        <v>542570.31000000006</v>
      </c>
      <c r="E10" s="70" t="s">
        <v>39</v>
      </c>
      <c r="F10" s="35"/>
      <c r="G10" s="53">
        <f>SUM(G11:G12)</f>
        <v>32527.279999999999</v>
      </c>
    </row>
    <row r="11" spans="2:13" x14ac:dyDescent="0.35">
      <c r="B11" s="82" t="s">
        <v>46</v>
      </c>
      <c r="C11" s="40"/>
      <c r="D11" s="84">
        <f>D13</f>
        <v>8254345.4299999997</v>
      </c>
      <c r="E11" s="71"/>
      <c r="F11" s="35" t="s">
        <v>47</v>
      </c>
      <c r="G11" s="36">
        <v>32527.279999999999</v>
      </c>
    </row>
    <row r="12" spans="2:13" x14ac:dyDescent="0.35">
      <c r="B12" s="39"/>
      <c r="C12" s="40" t="s">
        <v>40</v>
      </c>
      <c r="D12" s="41">
        <v>0</v>
      </c>
      <c r="E12" s="72"/>
      <c r="F12" s="56" t="s">
        <v>37</v>
      </c>
      <c r="G12" s="52">
        <v>0</v>
      </c>
    </row>
    <row r="13" spans="2:13" x14ac:dyDescent="0.35">
      <c r="B13" s="39"/>
      <c r="C13" s="40" t="s">
        <v>45</v>
      </c>
      <c r="D13" s="49">
        <v>8254345.4299999997</v>
      </c>
      <c r="E13" s="73" t="s">
        <v>41</v>
      </c>
      <c r="F13" s="40"/>
      <c r="G13" s="74">
        <f>SUM(G14:G17)</f>
        <v>10053653.399999997</v>
      </c>
    </row>
    <row r="14" spans="2:13" x14ac:dyDescent="0.35">
      <c r="B14" s="39"/>
      <c r="C14" s="40"/>
      <c r="D14" s="41"/>
      <c r="E14" s="40"/>
      <c r="F14" s="40" t="s">
        <v>49</v>
      </c>
      <c r="G14" s="41">
        <v>14139130</v>
      </c>
    </row>
    <row r="15" spans="2:13" x14ac:dyDescent="0.35">
      <c r="B15" s="39"/>
      <c r="C15" s="40"/>
      <c r="D15" s="41"/>
      <c r="E15" s="40"/>
      <c r="F15" s="40" t="s">
        <v>50</v>
      </c>
      <c r="G15" s="41">
        <v>4562148.38</v>
      </c>
    </row>
    <row r="16" spans="2:13" x14ac:dyDescent="0.35">
      <c r="B16" s="39"/>
      <c r="C16" s="40"/>
      <c r="D16" s="41"/>
      <c r="E16" s="40"/>
      <c r="F16" s="40" t="s">
        <v>53</v>
      </c>
      <c r="G16" s="41">
        <v>48664.65</v>
      </c>
    </row>
    <row r="17" spans="2:7" x14ac:dyDescent="0.35">
      <c r="B17" s="47"/>
      <c r="C17" s="48"/>
      <c r="D17" s="49"/>
      <c r="E17" s="48"/>
      <c r="F17" s="48" t="s">
        <v>51</v>
      </c>
      <c r="G17" s="49">
        <v>-8696289.6300000008</v>
      </c>
    </row>
    <row r="18" spans="2:7" x14ac:dyDescent="0.35">
      <c r="D18" s="44"/>
      <c r="G18" s="44"/>
    </row>
    <row r="20" spans="2:7" ht="13.5" thickBot="1" x14ac:dyDescent="0.4"/>
    <row r="21" spans="2:7" ht="26.5" thickBot="1" x14ac:dyDescent="0.4">
      <c r="B21" s="25" t="s">
        <v>3</v>
      </c>
      <c r="C21" s="26" t="s">
        <v>4</v>
      </c>
      <c r="D21" s="26" t="s">
        <v>5</v>
      </c>
      <c r="E21" s="9" t="s">
        <v>6</v>
      </c>
    </row>
    <row r="22" spans="2:7" ht="40" thickTop="1" thickBot="1" x14ac:dyDescent="0.4">
      <c r="B22" s="27" t="s">
        <v>7</v>
      </c>
      <c r="C22" s="16" t="s">
        <v>8</v>
      </c>
      <c r="D22" s="10" t="s">
        <v>9</v>
      </c>
      <c r="E22" s="11" t="s">
        <v>10</v>
      </c>
    </row>
    <row r="23" spans="2:7" ht="40" thickTop="1" thickBot="1" x14ac:dyDescent="0.4">
      <c r="B23" s="28" t="s">
        <v>11</v>
      </c>
      <c r="C23" s="12" t="s">
        <v>12</v>
      </c>
      <c r="D23" s="12" t="s">
        <v>13</v>
      </c>
      <c r="E23" s="13" t="s">
        <v>14</v>
      </c>
    </row>
    <row r="24" spans="2:7" ht="39.5" thickTop="1" x14ac:dyDescent="0.35">
      <c r="B24" s="29" t="s">
        <v>15</v>
      </c>
      <c r="C24" s="10" t="s">
        <v>16</v>
      </c>
      <c r="D24" s="10" t="s">
        <v>17</v>
      </c>
      <c r="E24" s="11" t="s">
        <v>18</v>
      </c>
    </row>
    <row r="25" spans="2:7" ht="78.5" thickBot="1" x14ac:dyDescent="0.4">
      <c r="B25" s="30" t="s">
        <v>19</v>
      </c>
      <c r="C25" s="14" t="s">
        <v>20</v>
      </c>
      <c r="D25" s="14" t="s">
        <v>21</v>
      </c>
      <c r="E25" s="15" t="s">
        <v>22</v>
      </c>
    </row>
    <row r="26" spans="2:7" ht="39.5" thickTop="1" x14ac:dyDescent="0.35">
      <c r="B26" s="31" t="s">
        <v>23</v>
      </c>
      <c r="C26" s="45" t="s">
        <v>24</v>
      </c>
      <c r="D26" s="16" t="s">
        <v>25</v>
      </c>
      <c r="E26" s="15" t="s">
        <v>26</v>
      </c>
    </row>
    <row r="27" spans="2:7" ht="39.5" thickBot="1" x14ac:dyDescent="0.4">
      <c r="B27" s="32" t="s">
        <v>27</v>
      </c>
      <c r="C27" s="46" t="s">
        <v>28</v>
      </c>
      <c r="D27" s="17" t="s">
        <v>13</v>
      </c>
      <c r="E27" s="18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A62AB-6247-42E7-8174-D63DA5E29B76}">
  <dimension ref="B1:N15"/>
  <sheetViews>
    <sheetView showGridLines="0" zoomScale="115" zoomScaleNormal="115" workbookViewId="0">
      <selection activeCell="B3" sqref="B3:G3"/>
    </sheetView>
  </sheetViews>
  <sheetFormatPr defaultColWidth="9.08984375" defaultRowHeight="13" x14ac:dyDescent="0.35"/>
  <cols>
    <col min="1" max="1" width="9.08984375" style="3"/>
    <col min="2" max="2" width="26.453125" style="3" customWidth="1"/>
    <col min="3" max="3" width="39.453125" style="3" bestFit="1" customWidth="1"/>
    <col min="4" max="4" width="15" style="2" bestFit="1" customWidth="1"/>
    <col min="5" max="5" width="16.08984375" style="3" bestFit="1" customWidth="1"/>
    <col min="6" max="6" width="27.36328125" style="3" bestFit="1" customWidth="1"/>
    <col min="7" max="7" width="15" style="3" bestFit="1" customWidth="1"/>
    <col min="8" max="8" width="13.36328125" style="3" customWidth="1"/>
    <col min="9" max="9" width="46.81640625" style="3" bestFit="1" customWidth="1"/>
    <col min="10" max="10" width="17.36328125" style="3" bestFit="1" customWidth="1"/>
    <col min="11" max="11" width="34.08984375" style="3" customWidth="1"/>
    <col min="12" max="12" width="64.36328125" style="3" bestFit="1" customWidth="1"/>
    <col min="13" max="14" width="26" style="3" customWidth="1"/>
    <col min="15" max="16384" width="9.08984375" style="3"/>
  </cols>
  <sheetData>
    <row r="1" spans="2:14" x14ac:dyDescent="0.35">
      <c r="I1" s="58"/>
      <c r="J1" s="58"/>
      <c r="K1" s="58"/>
    </row>
    <row r="2" spans="2:14" x14ac:dyDescent="0.35">
      <c r="C2" s="1"/>
      <c r="D2" s="4"/>
      <c r="E2" s="5"/>
      <c r="F2" s="5"/>
      <c r="G2" s="5"/>
      <c r="H2" s="5"/>
      <c r="I2" s="59"/>
      <c r="J2" s="59"/>
      <c r="K2" s="7"/>
      <c r="L2" s="7"/>
      <c r="M2" s="7"/>
      <c r="N2" s="7"/>
    </row>
    <row r="3" spans="2:14" x14ac:dyDescent="0.35">
      <c r="B3" s="96" t="s">
        <v>59</v>
      </c>
      <c r="C3" s="97" t="s">
        <v>60</v>
      </c>
      <c r="D3" s="98"/>
      <c r="E3" s="97"/>
      <c r="F3" s="97"/>
      <c r="G3" s="99">
        <v>45627</v>
      </c>
      <c r="H3" s="5"/>
      <c r="I3" s="60"/>
      <c r="J3" s="60"/>
      <c r="K3" s="61"/>
      <c r="L3" s="218" t="s">
        <v>58</v>
      </c>
      <c r="M3" s="8"/>
      <c r="N3" s="8"/>
    </row>
    <row r="4" spans="2:14" x14ac:dyDescent="0.35">
      <c r="B4" s="69" t="s">
        <v>30</v>
      </c>
      <c r="C4" s="33"/>
      <c r="D4" s="50">
        <f>SUM(D5+D9)</f>
        <v>1167425.47</v>
      </c>
      <c r="E4" s="85" t="s">
        <v>31</v>
      </c>
      <c r="F4" s="33"/>
      <c r="G4" s="50">
        <f>G5+G7</f>
        <v>1167425.4700000002</v>
      </c>
      <c r="I4" s="60"/>
      <c r="J4" s="60"/>
      <c r="K4" s="61"/>
      <c r="L4" s="218"/>
      <c r="M4" s="8"/>
      <c r="N4" s="8"/>
    </row>
    <row r="5" spans="2:14" x14ac:dyDescent="0.35">
      <c r="B5" s="70" t="s">
        <v>32</v>
      </c>
      <c r="C5" s="35"/>
      <c r="D5" s="53">
        <f>SUM(D6:D8)</f>
        <v>383408.32999999996</v>
      </c>
      <c r="E5" s="68" t="s">
        <v>33</v>
      </c>
      <c r="G5" s="37">
        <f>G6</f>
        <v>17724.87</v>
      </c>
      <c r="H5" s="5"/>
      <c r="I5" s="58"/>
      <c r="J5" s="58"/>
      <c r="K5" s="62"/>
      <c r="L5" s="218"/>
      <c r="M5" s="8"/>
      <c r="N5" s="8"/>
    </row>
    <row r="6" spans="2:14" x14ac:dyDescent="0.35">
      <c r="B6" s="71"/>
      <c r="C6" s="35" t="s">
        <v>34</v>
      </c>
      <c r="D6" s="36">
        <v>1</v>
      </c>
      <c r="E6" s="1"/>
      <c r="F6" s="3" t="s">
        <v>66</v>
      </c>
      <c r="G6" s="37">
        <v>17724.87</v>
      </c>
      <c r="I6" s="60"/>
      <c r="J6" s="60"/>
      <c r="K6" s="62"/>
      <c r="L6" s="218"/>
      <c r="M6" s="8"/>
      <c r="N6" s="8"/>
    </row>
    <row r="7" spans="2:14" x14ac:dyDescent="0.35">
      <c r="B7" s="71"/>
      <c r="C7" s="35" t="s">
        <v>62</v>
      </c>
      <c r="D7" s="36">
        <v>317739.28999999998</v>
      </c>
      <c r="E7" s="86" t="s">
        <v>41</v>
      </c>
      <c r="G7" s="43">
        <f>SUM(G8:G10)</f>
        <v>1149700.6000000001</v>
      </c>
      <c r="I7" s="58"/>
      <c r="J7" s="58"/>
      <c r="K7" s="57"/>
      <c r="L7" s="218"/>
      <c r="M7" s="8"/>
      <c r="N7" s="8"/>
    </row>
    <row r="8" spans="2:14" x14ac:dyDescent="0.35">
      <c r="B8" s="71"/>
      <c r="C8" s="35" t="s">
        <v>63</v>
      </c>
      <c r="D8" s="36">
        <v>65668.039999999994</v>
      </c>
      <c r="E8" s="20"/>
      <c r="F8" s="3" t="s">
        <v>49</v>
      </c>
      <c r="G8" s="37">
        <v>1150000</v>
      </c>
      <c r="I8" s="58"/>
      <c r="J8" s="58"/>
      <c r="K8" s="62"/>
      <c r="L8" s="218"/>
    </row>
    <row r="9" spans="2:14" x14ac:dyDescent="0.35">
      <c r="B9" s="72" t="s">
        <v>64</v>
      </c>
      <c r="C9" s="35"/>
      <c r="D9" s="36">
        <f>D10</f>
        <v>784017.14</v>
      </c>
      <c r="E9" s="1"/>
      <c r="F9" s="3" t="s">
        <v>67</v>
      </c>
      <c r="G9" s="37">
        <v>-200000</v>
      </c>
      <c r="I9" s="58"/>
      <c r="J9" s="58"/>
      <c r="K9" s="62"/>
      <c r="L9" s="218"/>
    </row>
    <row r="10" spans="2:14" x14ac:dyDescent="0.35">
      <c r="B10" s="88" t="s">
        <v>69</v>
      </c>
      <c r="C10" s="56" t="s">
        <v>65</v>
      </c>
      <c r="D10" s="52">
        <v>784017.14</v>
      </c>
      <c r="E10" s="87"/>
      <c r="F10" s="42" t="s">
        <v>68</v>
      </c>
      <c r="G10" s="43">
        <v>199700.6</v>
      </c>
      <c r="I10" s="58"/>
      <c r="J10" s="58"/>
      <c r="K10" s="62"/>
      <c r="L10" s="218"/>
    </row>
    <row r="11" spans="2:14" x14ac:dyDescent="0.35">
      <c r="D11" s="44"/>
      <c r="G11" s="44"/>
      <c r="I11" s="58"/>
      <c r="J11" s="58"/>
      <c r="K11" s="62"/>
      <c r="L11" s="218"/>
    </row>
    <row r="12" spans="2:14" x14ac:dyDescent="0.35">
      <c r="D12" s="44"/>
      <c r="G12" s="44"/>
      <c r="I12" s="58"/>
      <c r="J12" s="58"/>
      <c r="K12" s="62"/>
      <c r="L12" s="5"/>
    </row>
    <row r="15" spans="2:14" x14ac:dyDescent="0.35">
      <c r="E15" s="2"/>
    </row>
  </sheetData>
  <mergeCells count="1">
    <mergeCell ref="L3:L1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62FC7-6451-4932-8256-5B62573F937A}">
  <dimension ref="A1:N16"/>
  <sheetViews>
    <sheetView showGridLines="0" zoomScaleNormal="100" workbookViewId="0">
      <selection activeCell="B3" sqref="B3:G3"/>
    </sheetView>
  </sheetViews>
  <sheetFormatPr defaultColWidth="9.08984375" defaultRowHeight="13" x14ac:dyDescent="0.35"/>
  <cols>
    <col min="1" max="1" width="9.08984375" style="3"/>
    <col min="2" max="2" width="58.453125" style="3" bestFit="1" customWidth="1"/>
    <col min="3" max="3" width="19.08984375" style="3" bestFit="1" customWidth="1"/>
    <col min="4" max="4" width="17" style="2" bestFit="1" customWidth="1"/>
    <col min="5" max="5" width="16.08984375" style="3" bestFit="1" customWidth="1"/>
    <col min="6" max="6" width="31.08984375" style="3" bestFit="1" customWidth="1"/>
    <col min="7" max="7" width="17" style="3" bestFit="1" customWidth="1"/>
    <col min="8" max="8" width="13.36328125" style="3" customWidth="1"/>
    <col min="9" max="9" width="46.81640625" style="3" bestFit="1" customWidth="1"/>
    <col min="10" max="10" width="17.36328125" style="3" bestFit="1" customWidth="1"/>
    <col min="11" max="11" width="34.08984375" style="3" customWidth="1"/>
    <col min="12" max="12" width="64.36328125" style="3" bestFit="1" customWidth="1"/>
    <col min="13" max="14" width="26" style="3" customWidth="1"/>
    <col min="15" max="16384" width="9.08984375" style="3"/>
  </cols>
  <sheetData>
    <row r="1" spans="1:14" x14ac:dyDescent="0.35">
      <c r="I1" s="58"/>
      <c r="J1" s="58"/>
      <c r="K1" s="58"/>
    </row>
    <row r="2" spans="1:14" x14ac:dyDescent="0.35">
      <c r="C2" s="1"/>
      <c r="D2" s="4"/>
      <c r="E2" s="5"/>
      <c r="F2" s="5"/>
      <c r="G2" s="5"/>
      <c r="H2" s="5"/>
      <c r="I2" s="59"/>
      <c r="J2" s="59"/>
      <c r="K2" s="7"/>
      <c r="L2" s="7"/>
      <c r="M2" s="7"/>
      <c r="N2" s="7"/>
    </row>
    <row r="3" spans="1:14" x14ac:dyDescent="0.35">
      <c r="B3" s="96" t="s">
        <v>80</v>
      </c>
      <c r="C3" s="97" t="s">
        <v>60</v>
      </c>
      <c r="D3" s="98"/>
      <c r="E3" s="97"/>
      <c r="F3" s="97"/>
      <c r="G3" s="99">
        <v>45627</v>
      </c>
      <c r="H3" s="219" t="s">
        <v>61</v>
      </c>
      <c r="I3" s="60"/>
      <c r="J3" s="60"/>
      <c r="K3" s="61"/>
      <c r="L3" s="218" t="s">
        <v>58</v>
      </c>
      <c r="M3" s="8"/>
      <c r="N3" s="8"/>
    </row>
    <row r="4" spans="1:14" x14ac:dyDescent="0.35">
      <c r="B4" s="69" t="s">
        <v>30</v>
      </c>
      <c r="C4" s="33"/>
      <c r="D4" s="50">
        <f>SUM(D5+D12)</f>
        <v>122371162.56999999</v>
      </c>
      <c r="E4" s="85" t="s">
        <v>31</v>
      </c>
      <c r="F4" s="33"/>
      <c r="G4" s="50">
        <f>SUM(G5+G10)</f>
        <v>122371162.57000001</v>
      </c>
      <c r="H4" s="219"/>
      <c r="I4" s="60"/>
      <c r="J4" s="60"/>
      <c r="K4" s="61"/>
      <c r="L4" s="218"/>
      <c r="M4" s="8"/>
      <c r="N4" s="8"/>
    </row>
    <row r="5" spans="1:14" x14ac:dyDescent="0.35">
      <c r="B5" s="70" t="s">
        <v>32</v>
      </c>
      <c r="C5" s="35"/>
      <c r="D5" s="53">
        <f>SUM(D6:D11)</f>
        <v>14442336.91</v>
      </c>
      <c r="E5" s="70" t="s">
        <v>33</v>
      </c>
      <c r="F5" s="35"/>
      <c r="G5" s="36">
        <f>SUM(G6:G9)</f>
        <v>21461591.919999998</v>
      </c>
      <c r="H5" s="219"/>
      <c r="I5" s="58"/>
      <c r="J5" s="58"/>
      <c r="K5" s="62"/>
      <c r="L5" s="218"/>
      <c r="M5" s="8"/>
      <c r="N5" s="8"/>
    </row>
    <row r="6" spans="1:14" x14ac:dyDescent="0.35">
      <c r="B6" s="71"/>
      <c r="C6" s="35" t="s">
        <v>70</v>
      </c>
      <c r="D6" s="36">
        <v>2437109.31</v>
      </c>
      <c r="E6" s="89"/>
      <c r="F6" s="35" t="s">
        <v>76</v>
      </c>
      <c r="G6" s="79">
        <v>2494168.9500000002</v>
      </c>
      <c r="H6" s="219"/>
      <c r="I6" s="60"/>
      <c r="J6" s="60"/>
      <c r="K6" s="62"/>
      <c r="L6" s="218"/>
      <c r="M6" s="8"/>
      <c r="N6" s="8"/>
    </row>
    <row r="7" spans="1:14" x14ac:dyDescent="0.35">
      <c r="B7" s="71"/>
      <c r="C7" s="35" t="s">
        <v>71</v>
      </c>
      <c r="D7" s="36">
        <v>7001150.1399999997</v>
      </c>
      <c r="E7" s="92"/>
      <c r="F7" s="35" t="s">
        <v>77</v>
      </c>
      <c r="G7" s="36">
        <v>558759.63</v>
      </c>
      <c r="H7" s="219"/>
      <c r="I7" s="58"/>
      <c r="J7" s="58"/>
      <c r="K7" s="57"/>
      <c r="L7" s="218"/>
      <c r="M7" s="8"/>
      <c r="N7" s="8"/>
    </row>
    <row r="8" spans="1:14" x14ac:dyDescent="0.35">
      <c r="B8" s="71"/>
      <c r="C8" s="35" t="s">
        <v>72</v>
      </c>
      <c r="D8" s="36">
        <v>1273637.1100000001</v>
      </c>
      <c r="E8" s="71"/>
      <c r="F8" s="35" t="s">
        <v>56</v>
      </c>
      <c r="G8" s="36">
        <v>17920181.5</v>
      </c>
      <c r="H8" s="219"/>
      <c r="I8" s="58"/>
      <c r="J8" s="58"/>
      <c r="K8" s="62"/>
      <c r="L8" s="218"/>
    </row>
    <row r="9" spans="1:14" x14ac:dyDescent="0.35">
      <c r="B9" s="71"/>
      <c r="C9" s="35" t="s">
        <v>73</v>
      </c>
      <c r="D9" s="36">
        <v>3718389.14</v>
      </c>
      <c r="E9" s="89"/>
      <c r="F9" s="35" t="s">
        <v>78</v>
      </c>
      <c r="G9" s="36">
        <v>488481.84</v>
      </c>
      <c r="H9" s="219"/>
      <c r="I9" s="58"/>
      <c r="J9" s="58"/>
      <c r="K9" s="62"/>
      <c r="L9" s="218"/>
    </row>
    <row r="10" spans="1:14" x14ac:dyDescent="0.35">
      <c r="B10" s="91" t="s">
        <v>69</v>
      </c>
      <c r="C10" s="35" t="s">
        <v>44</v>
      </c>
      <c r="D10" s="36">
        <v>1006.72</v>
      </c>
      <c r="E10" s="73" t="s">
        <v>41</v>
      </c>
      <c r="F10" s="40"/>
      <c r="G10" s="74">
        <f>SUM(G11:G12)</f>
        <v>100909570.65000001</v>
      </c>
      <c r="H10" s="219"/>
      <c r="I10" s="58"/>
      <c r="J10" s="58"/>
      <c r="K10" s="62"/>
      <c r="L10" s="218"/>
    </row>
    <row r="11" spans="1:14" x14ac:dyDescent="0.35">
      <c r="A11" s="54"/>
      <c r="B11" s="90"/>
      <c r="C11" s="40" t="s">
        <v>74</v>
      </c>
      <c r="D11" s="41">
        <v>11044.49</v>
      </c>
      <c r="E11" s="81"/>
      <c r="F11" s="40" t="s">
        <v>49</v>
      </c>
      <c r="G11" s="41">
        <v>86545880</v>
      </c>
      <c r="H11" s="219"/>
      <c r="I11" s="58"/>
      <c r="J11" s="58"/>
      <c r="K11" s="62"/>
      <c r="L11" s="218"/>
    </row>
    <row r="12" spans="1:14" x14ac:dyDescent="0.35">
      <c r="A12" s="54"/>
      <c r="B12" s="73" t="s">
        <v>75</v>
      </c>
      <c r="C12" s="40"/>
      <c r="D12" s="84">
        <f>SUM(D13:D14)</f>
        <v>107928825.66</v>
      </c>
      <c r="E12" s="93"/>
      <c r="F12" s="40" t="s">
        <v>79</v>
      </c>
      <c r="G12" s="55">
        <v>14363690.65</v>
      </c>
      <c r="H12" s="219"/>
    </row>
    <row r="13" spans="1:14" x14ac:dyDescent="0.35">
      <c r="A13" s="54"/>
      <c r="B13" s="39"/>
      <c r="C13" s="40" t="s">
        <v>40</v>
      </c>
      <c r="D13" s="55">
        <v>46794804.109999999</v>
      </c>
      <c r="E13" s="40"/>
      <c r="F13" s="40"/>
      <c r="G13" s="94"/>
      <c r="H13" s="219"/>
    </row>
    <row r="14" spans="1:14" x14ac:dyDescent="0.35">
      <c r="A14" s="54"/>
      <c r="B14" s="48"/>
      <c r="C14" s="48" t="s">
        <v>45</v>
      </c>
      <c r="D14" s="51">
        <v>61134021.549999997</v>
      </c>
      <c r="E14" s="47"/>
      <c r="F14" s="48"/>
      <c r="G14" s="95"/>
      <c r="H14" s="219"/>
    </row>
    <row r="15" spans="1:14" x14ac:dyDescent="0.35">
      <c r="A15" s="54"/>
    </row>
    <row r="16" spans="1:14" x14ac:dyDescent="0.35">
      <c r="A16" s="54"/>
    </row>
  </sheetData>
  <mergeCells count="2">
    <mergeCell ref="L3:L11"/>
    <mergeCell ref="H3:H14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99836-E50A-4D5E-829E-4C30D3EC4820}">
  <dimension ref="A1:N14"/>
  <sheetViews>
    <sheetView showGridLines="0" zoomScale="145" zoomScaleNormal="145" workbookViewId="0">
      <selection activeCell="B3" sqref="B3:G3"/>
    </sheetView>
  </sheetViews>
  <sheetFormatPr defaultColWidth="9.08984375" defaultRowHeight="13" x14ac:dyDescent="0.35"/>
  <cols>
    <col min="1" max="1" width="9.08984375" style="3"/>
    <col min="2" max="2" width="21.81640625" style="3" bestFit="1" customWidth="1"/>
    <col min="3" max="3" width="24.08984375" style="3" bestFit="1" customWidth="1"/>
    <col min="4" max="4" width="17" style="2" bestFit="1" customWidth="1"/>
    <col min="5" max="5" width="16.453125" style="3" bestFit="1" customWidth="1"/>
    <col min="6" max="6" width="27.36328125" style="3" bestFit="1" customWidth="1"/>
    <col min="7" max="7" width="17" style="3" bestFit="1" customWidth="1"/>
    <col min="8" max="8" width="20.6328125" style="3" bestFit="1" customWidth="1"/>
    <col min="9" max="9" width="46.81640625" style="3" bestFit="1" customWidth="1"/>
    <col min="10" max="10" width="17.36328125" style="3" bestFit="1" customWidth="1"/>
    <col min="11" max="11" width="34.08984375" style="3" customWidth="1"/>
    <col min="12" max="12" width="64.36328125" style="3" bestFit="1" customWidth="1"/>
    <col min="13" max="14" width="26" style="3" customWidth="1"/>
    <col min="15" max="16384" width="9.08984375" style="3"/>
  </cols>
  <sheetData>
    <row r="1" spans="1:14" x14ac:dyDescent="0.35">
      <c r="I1" s="58"/>
      <c r="J1" s="58"/>
      <c r="K1" s="58"/>
    </row>
    <row r="2" spans="1:14" x14ac:dyDescent="0.35">
      <c r="C2" s="1"/>
      <c r="D2" s="4"/>
      <c r="E2" s="5"/>
      <c r="F2" s="5"/>
      <c r="G2" s="5"/>
      <c r="H2" s="5"/>
      <c r="I2" s="59"/>
      <c r="J2" s="59"/>
      <c r="K2" s="7"/>
      <c r="L2" s="7"/>
      <c r="M2" s="7"/>
      <c r="N2" s="7"/>
    </row>
    <row r="3" spans="1:14" x14ac:dyDescent="0.35">
      <c r="B3" s="96" t="s">
        <v>94</v>
      </c>
      <c r="C3" s="97" t="s">
        <v>60</v>
      </c>
      <c r="D3" s="100"/>
      <c r="E3" s="97" t="s">
        <v>93</v>
      </c>
      <c r="F3" s="101"/>
      <c r="G3" s="99">
        <v>45627</v>
      </c>
      <c r="H3" s="5"/>
      <c r="I3" s="60"/>
      <c r="J3" s="60"/>
      <c r="K3" s="61"/>
      <c r="L3" s="218" t="s">
        <v>58</v>
      </c>
      <c r="M3" s="8"/>
      <c r="N3" s="8"/>
    </row>
    <row r="4" spans="1:14" x14ac:dyDescent="0.35">
      <c r="B4" s="69" t="s">
        <v>30</v>
      </c>
      <c r="C4" s="33"/>
      <c r="D4" s="50">
        <f>SUM(D5+D9)</f>
        <v>109379942.83999999</v>
      </c>
      <c r="E4" s="76" t="s">
        <v>31</v>
      </c>
      <c r="F4" s="77"/>
      <c r="G4" s="78">
        <f>SUM(G5+G9)</f>
        <v>109379942.83999999</v>
      </c>
      <c r="H4" s="220" t="s">
        <v>92</v>
      </c>
      <c r="I4" s="60"/>
      <c r="J4" s="60"/>
      <c r="K4" s="61"/>
      <c r="L4" s="218"/>
      <c r="M4" s="8"/>
      <c r="N4" s="8"/>
    </row>
    <row r="5" spans="1:14" x14ac:dyDescent="0.35">
      <c r="B5" s="70" t="s">
        <v>32</v>
      </c>
      <c r="C5" s="35"/>
      <c r="D5" s="53">
        <f>SUM(D6:D8)</f>
        <v>820384.91</v>
      </c>
      <c r="E5" s="70" t="s">
        <v>33</v>
      </c>
      <c r="F5" s="35"/>
      <c r="G5" s="36">
        <f>SUM(G6:G8)</f>
        <v>919578.08000000007</v>
      </c>
      <c r="H5" s="220"/>
      <c r="I5" s="58"/>
      <c r="J5" s="58"/>
      <c r="K5" s="62"/>
      <c r="L5" s="218"/>
      <c r="M5" s="8"/>
      <c r="N5" s="8"/>
    </row>
    <row r="6" spans="1:14" x14ac:dyDescent="0.35">
      <c r="B6" s="34"/>
      <c r="C6" s="35" t="s">
        <v>81</v>
      </c>
      <c r="D6" s="36">
        <v>7</v>
      </c>
      <c r="E6" s="35"/>
      <c r="F6" s="35" t="s">
        <v>86</v>
      </c>
      <c r="G6" s="79">
        <v>6731.94</v>
      </c>
      <c r="H6" s="220"/>
      <c r="I6" s="60"/>
      <c r="J6" s="60"/>
      <c r="K6" s="62"/>
      <c r="L6" s="218"/>
      <c r="M6" s="8"/>
      <c r="N6" s="8"/>
    </row>
    <row r="7" spans="1:14" x14ac:dyDescent="0.35">
      <c r="B7" s="34"/>
      <c r="C7" s="35" t="s">
        <v>82</v>
      </c>
      <c r="D7" s="36">
        <v>501276.83</v>
      </c>
      <c r="E7" s="63"/>
      <c r="F7" s="35" t="s">
        <v>87</v>
      </c>
      <c r="G7" s="36">
        <v>360471.48</v>
      </c>
      <c r="H7" s="220"/>
      <c r="I7" s="58"/>
      <c r="J7" s="58"/>
      <c r="K7" s="57"/>
      <c r="L7" s="218"/>
      <c r="M7" s="8"/>
      <c r="N7" s="8"/>
    </row>
    <row r="8" spans="1:14" x14ac:dyDescent="0.35">
      <c r="B8" s="34"/>
      <c r="C8" s="35" t="s">
        <v>84</v>
      </c>
      <c r="D8" s="36">
        <v>319101.08</v>
      </c>
      <c r="E8" s="72"/>
      <c r="F8" s="35" t="s">
        <v>88</v>
      </c>
      <c r="G8" s="52">
        <v>552374.66</v>
      </c>
      <c r="H8" s="220"/>
      <c r="I8" s="58"/>
      <c r="J8" s="58"/>
      <c r="K8" s="62"/>
      <c r="L8" s="218"/>
    </row>
    <row r="9" spans="1:14" x14ac:dyDescent="0.35">
      <c r="B9" s="73" t="s">
        <v>75</v>
      </c>
      <c r="C9" s="40"/>
      <c r="D9" s="74">
        <f>SUM(D10:D12)</f>
        <v>108559557.92999999</v>
      </c>
      <c r="E9" s="73" t="s">
        <v>41</v>
      </c>
      <c r="F9" s="40"/>
      <c r="G9" s="80">
        <f>SUM(G10:G14)</f>
        <v>108460364.75999999</v>
      </c>
      <c r="H9" s="220"/>
      <c r="I9" s="58"/>
      <c r="J9" s="58"/>
      <c r="K9" s="62"/>
      <c r="L9" s="218"/>
    </row>
    <row r="10" spans="1:14" x14ac:dyDescent="0.35">
      <c r="B10" s="75" t="s">
        <v>69</v>
      </c>
      <c r="C10" s="40" t="s">
        <v>83</v>
      </c>
      <c r="D10" s="41">
        <v>64315927.329999998</v>
      </c>
      <c r="E10" s="39"/>
      <c r="F10" s="40" t="s">
        <v>49</v>
      </c>
      <c r="G10" s="41">
        <v>79875997.739999995</v>
      </c>
      <c r="H10" s="220"/>
      <c r="I10" s="58"/>
      <c r="J10" s="58"/>
      <c r="K10" s="62"/>
      <c r="L10" s="218"/>
    </row>
    <row r="11" spans="1:14" x14ac:dyDescent="0.35">
      <c r="A11" s="54"/>
      <c r="B11" s="39"/>
      <c r="C11" s="40" t="s">
        <v>85</v>
      </c>
      <c r="D11" s="41">
        <v>21372769.940000001</v>
      </c>
      <c r="E11" s="39"/>
      <c r="F11" s="40" t="s">
        <v>67</v>
      </c>
      <c r="G11" s="41">
        <v>-2603500</v>
      </c>
      <c r="H11" s="220"/>
      <c r="I11" s="58"/>
      <c r="J11" s="58"/>
      <c r="K11" s="62"/>
      <c r="L11" s="218"/>
    </row>
    <row r="12" spans="1:14" x14ac:dyDescent="0.35">
      <c r="B12" s="40"/>
      <c r="C12" s="40" t="s">
        <v>45</v>
      </c>
      <c r="D12" s="83">
        <v>22870860.66</v>
      </c>
      <c r="E12" s="39"/>
      <c r="F12" s="40" t="s">
        <v>89</v>
      </c>
      <c r="G12" s="19">
        <v>1800035.86</v>
      </c>
      <c r="H12" s="220"/>
    </row>
    <row r="13" spans="1:14" x14ac:dyDescent="0.35">
      <c r="A13" s="54"/>
      <c r="B13" s="40"/>
      <c r="C13" s="40"/>
      <c r="D13" s="55"/>
      <c r="E13" s="40"/>
      <c r="F13" s="40" t="s">
        <v>90</v>
      </c>
      <c r="G13" s="19">
        <v>7330593.3200000003</v>
      </c>
      <c r="H13" s="220"/>
    </row>
    <row r="14" spans="1:14" x14ac:dyDescent="0.35">
      <c r="B14" s="47"/>
      <c r="C14" s="48"/>
      <c r="D14" s="51"/>
      <c r="E14" s="48"/>
      <c r="F14" s="48" t="s">
        <v>91</v>
      </c>
      <c r="G14" s="51">
        <v>22057237.84</v>
      </c>
      <c r="H14" s="220"/>
    </row>
  </sheetData>
  <mergeCells count="2">
    <mergeCell ref="L3:L11"/>
    <mergeCell ref="H4:H14"/>
  </mergeCells>
  <phoneticPr fontId="10" type="noConversion"/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ea803e51-b7dd-4b01-9f98-6ad769db2115}" enabled="0" method="" siteId="{ea803e51-b7dd-4b01-9f98-6ad769db211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Organograma</vt:lpstr>
      <vt:lpstr>Cálculos da Operação</vt:lpstr>
      <vt:lpstr>Alienação Futura (PJ x PF)</vt:lpstr>
      <vt:lpstr>Dourada C. e A. SA</vt:lpstr>
      <vt:lpstr>Embracon Franchising</vt:lpstr>
      <vt:lpstr>Embrafisa Consul.</vt:lpstr>
      <vt:lpstr>GSJ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Reinaldo Passaro | Stocche Forbes Advogados</dc:creator>
  <cp:lastModifiedBy>Caue Costa Silva | Stocche Forbes Advogados</cp:lastModifiedBy>
  <dcterms:created xsi:type="dcterms:W3CDTF">2025-02-03T12:46:49Z</dcterms:created>
  <dcterms:modified xsi:type="dcterms:W3CDTF">2026-09-04T10:46:25Z</dcterms:modified>
</cp:coreProperties>
</file>