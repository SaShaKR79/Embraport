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Incorporação CPC 15" sheetId="2" state="visible" r:id="rId4"/>
    <sheet name="Conclusã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5" authorId="0">
      <text>
        <r>
          <rPr>
            <sz val="10"/>
            <rFont val="Arial"/>
            <family val="2"/>
          </rPr>
          <t xml:space="preserve">Proporção AVJ = MV 300 ÷ VJ 866 = 34,64% (exemplo Deloitte) aplicada ao PL contábil da CNP.</t>
        </r>
      </text>
    </comment>
  </commentList>
</comments>
</file>

<file path=xl/sharedStrings.xml><?xml version="1.0" encoding="utf-8"?>
<sst xmlns="http://schemas.openxmlformats.org/spreadsheetml/2006/main" count="126" uniqueCount="110">
  <si>
    <t xml:space="preserve">Projeto Another House — Exercício da Incorporação sob CPC 15</t>
  </si>
  <si>
    <t xml:space="preserve">Hipótese A: custo original ("magrinho")  ·  Hipótese B: custo incrementado ("gordinho")</t>
  </si>
  <si>
    <t xml:space="preserve">Base: draft MLA, aba "base 30 06 26com dividendos" · valores em R$ milhões · células AMARELAS = premissas editáveis; o restante é fórmula.</t>
  </si>
  <si>
    <t xml:space="preserve">PREMISSAS GERAIS</t>
  </si>
  <si>
    <t xml:space="preserve">Data-base dos balanços</t>
  </si>
  <si>
    <t xml:space="preserve">30.06.2026</t>
  </si>
  <si>
    <t xml:space="preserve">Participação das Partes CNP na incorporação (relação de troca)</t>
  </si>
  <si>
    <t xml:space="preserve">Draft E71</t>
  </si>
  <si>
    <t xml:space="preserve">Participação final das Partes CNP (pós cash out)</t>
  </si>
  <si>
    <t xml:space="preserve">Draft E87</t>
  </si>
  <si>
    <t xml:space="preserve">IRPJ/CSLL sobre ganho de capital</t>
  </si>
  <si>
    <t xml:space="preserve">Draft I96</t>
  </si>
  <si>
    <t xml:space="preserve">Dividendos declarados pela Embracon antes da incorporação</t>
  </si>
  <si>
    <t xml:space="preserve">Draft L23/L31 — reduz o PL da Embracon a 239,5</t>
  </si>
  <si>
    <t xml:space="preserve">Preço do cash out — por holding</t>
  </si>
  <si>
    <t xml:space="preserve">Draft G97 (total 1.200 nas duas holdings)</t>
  </si>
  <si>
    <t xml:space="preserve">SEGREGAÇÃO DO CUSTO — PROPORÇÃO DO EXEMPLO DELOITTE</t>
  </si>
  <si>
    <t xml:space="preserve">Valor justo do PL da CNP (exemplo DTT)</t>
  </si>
  <si>
    <t xml:space="preserve">Draft N86</t>
  </si>
  <si>
    <t xml:space="preserve">Mais-valia contida no exemplo (MV)</t>
  </si>
  <si>
    <t xml:space="preserve">Draft O86</t>
  </si>
  <si>
    <t xml:space="preserve">% AVJ implícito no PL da CNP (MV ÷ VJ)</t>
  </si>
  <si>
    <t xml:space="preserve">Aplicado ao PL contábil da CNP para segregar a camada de maior risco</t>
  </si>
  <si>
    <t xml:space="preserve">% contábil (sem AVJ)</t>
  </si>
  <si>
    <t xml:space="preserve">Incorporação CPC 15 — do balanço-base à alienação futura</t>
  </si>
  <si>
    <t xml:space="preserve">0. BALANÇOS-BASE 30.06.2026 (R$ MILHÕES)</t>
  </si>
  <si>
    <t xml:space="preserve">SAVIAN</t>
  </si>
  <si>
    <t xml:space="preserve">JVFJ</t>
  </si>
  <si>
    <t xml:space="preserve">EMBRACON</t>
  </si>
  <si>
    <t xml:space="preserve">CNP</t>
  </si>
  <si>
    <t xml:space="preserve">Ativos totais</t>
  </si>
  <si>
    <t xml:space="preserve">Passivos totais</t>
  </si>
  <si>
    <t xml:space="preserve">Patrimônio líquido</t>
  </si>
  <si>
    <t xml:space="preserve">      Capital</t>
  </si>
  <si>
    <t xml:space="preserve">      Reservas</t>
  </si>
  <si>
    <t xml:space="preserve">      (−) Dividendos declarados</t>
  </si>
  <si>
    <t xml:space="preserve">Investimento na Embracon (= 50% do PL)</t>
  </si>
  <si>
    <t xml:space="preserve">PL combinado (Embracon + CNP)</t>
  </si>
  <si>
    <t xml:space="preserve">Savian e JVFJ: ativo único = investimento na Embracon. CNP: PL = Capital 519 + Reservas 319,7 (draft).</t>
  </si>
  <si>
    <t xml:space="preserve">1. PRÉ-INCORPORAÇÃO — PARTICIPAÇÕES E CUSTO</t>
  </si>
  <si>
    <t xml:space="preserve">TOTAL</t>
  </si>
  <si>
    <t xml:space="preserve">Participação na Embracon</t>
  </si>
  <si>
    <t xml:space="preserve">Custo do investimento</t>
  </si>
  <si>
    <t xml:space="preserve">2. INCORPORAÇÃO DA CNP — RELAÇÃO DE TROCA 13,8%</t>
  </si>
  <si>
    <t xml:space="preserve">Participação após a incorporação</t>
  </si>
  <si>
    <t xml:space="preserve">Reflexo nas holdings</t>
  </si>
  <si>
    <t xml:space="preserve">POR HOLDING</t>
  </si>
  <si>
    <t xml:space="preserve">TOTAL (2 HOLDINGS)</t>
  </si>
  <si>
    <t xml:space="preserve">Investimento anterior</t>
  </si>
  <si>
    <t xml:space="preserve">(+) Incorporação base (PL da CNP ÷ 2)</t>
  </si>
  <si>
    <t xml:space="preserve">(−) Diluição de 13,8% sobre (investimento + base)</t>
  </si>
  <si>
    <t xml:space="preserve">(=) Parcela incorporada</t>
  </si>
  <si>
    <t xml:space="preserve">(=) Custo incrementado — Hipótese B ("gordinho")</t>
  </si>
  <si>
    <t xml:space="preserve">Check: 43,1% × PL combinado − custo incrementado</t>
  </si>
  <si>
    <t xml:space="preserve">Segregação do custo (camadas de risco)</t>
  </si>
  <si>
    <t xml:space="preserve">PL COMBINADO</t>
  </si>
  <si>
    <t xml:space="preserve">× 86,2%</t>
  </si>
  <si>
    <t xml:space="preserve">Δ (2 HOLDINGS)</t>
  </si>
  <si>
    <t xml:space="preserve">1. Investimento antigo (PL Embracon) — perda de diluição</t>
  </si>
  <si>
    <t xml:space="preserve">2. Reflexo do PL contábil da CNP (menor risco)</t>
  </si>
  <si>
    <t xml:space="preserve">3. Reflexo da parcela AVJ implícita (maior risco)</t>
  </si>
  <si>
    <t xml:space="preserve">Total</t>
  </si>
  <si>
    <t xml:space="preserve">CONCLUSÃO DA INCORPORAÇÃO</t>
  </si>
  <si>
    <t xml:space="preserve">Custo original — Hipótese A (por holding)</t>
  </si>
  <si>
    <t xml:space="preserve">Custo incrementado — Hipótese B (por holding)</t>
  </si>
  <si>
    <t xml:space="preserve">Parcela incorporada — total (2 holdings)</t>
  </si>
  <si>
    <t xml:space="preserve">3. CASH OUT — VENDA DE 26,2% À CNP (600 POR HOLDING)</t>
  </si>
  <si>
    <t xml:space="preserve">Venda / compra</t>
  </si>
  <si>
    <t xml:space="preserve">Participação final</t>
  </si>
  <si>
    <t xml:space="preserve">Fração alienada do investimento (13,1 ÷ 43,1)</t>
  </si>
  <si>
    <t xml:space="preserve">Ganho de capital no cash out (por holding)</t>
  </si>
  <si>
    <t xml:space="preserve">HIP. A — CUSTO ORIGINAL</t>
  </si>
  <si>
    <t xml:space="preserve">HIP. B — CUSTO INCREMENTADO</t>
  </si>
  <si>
    <t xml:space="preserve">Preço da venda</t>
  </si>
  <si>
    <t xml:space="preserve">(−) Custo alocado (custo × fração alienada)</t>
  </si>
  <si>
    <t xml:space="preserve">(=) Ganho de capital</t>
  </si>
  <si>
    <t xml:space="preserve">IRPJ/CSLL (34%)</t>
  </si>
  <si>
    <t xml:space="preserve">Líquido do imposto (preço − IR)</t>
  </si>
  <si>
    <t xml:space="preserve">Custo remanescente (para a alienação futura)</t>
  </si>
  <si>
    <t xml:space="preserve">CONCLUSÃO DO CASH OUT (TOTAL — 2 HOLDINGS)</t>
  </si>
  <si>
    <t xml:space="preserve">IRPJ/CSLL — Hipótese A</t>
  </si>
  <si>
    <t xml:space="preserve">IRPJ/CSLL — Hipótese B</t>
  </si>
  <si>
    <t xml:space="preserve">Economia da Hipótese B no cash out</t>
  </si>
  <si>
    <t xml:space="preserve">Operação única (primária + secundária simultâneas): no cash out prevalece o custo antigo — a Hipótese A é a leitura conservadora.</t>
  </si>
  <si>
    <t xml:space="preserve">4. ALIENAÇÃO FUTURA — VENDA DO REMANESCENTE (30% POR HOLDING)</t>
  </si>
  <si>
    <t xml:space="preserve">Preço da venda futura — por holding (editável)</t>
  </si>
  <si>
    <t xml:space="preserve">Custo remanescente</t>
  </si>
  <si>
    <t xml:space="preserve">Ganho de capital (preço − custo)</t>
  </si>
  <si>
    <t xml:space="preserve">IRPJ/CSLL (34%; não negativo)</t>
  </si>
  <si>
    <t xml:space="preserve">CONCLUSÃO DA ALIENAÇÃO FUTURA (TOTAL — 2 HOLDINGS)</t>
  </si>
  <si>
    <t xml:space="preserve">Economia de IR da Hipótese B no preço indicado</t>
  </si>
  <si>
    <t xml:space="preserve">Economia máxima (34% × Δ de custo remanescente)</t>
  </si>
  <si>
    <t xml:space="preserve">A economia independe do preço enquanto o ganho for positivo nas duas hipóteses.</t>
  </si>
  <si>
    <t xml:space="preserve">Conclusão — efeitos das duas hipóteses de custo</t>
  </si>
  <si>
    <t xml:space="preserve">SÍNTESE (TOTAL DAS 2 HOLDINGS — R$ MILHÕES)</t>
  </si>
  <si>
    <t xml:space="preserve">Δ (ECONOMIA B)</t>
  </si>
  <si>
    <t xml:space="preserve">Custo do investimento após a incorporação</t>
  </si>
  <si>
    <t xml:space="preserve">IRPJ/CSLL no cash out</t>
  </si>
  <si>
    <t xml:space="preserve">Custo remanescente para a alienação futura</t>
  </si>
  <si>
    <t xml:space="preserve">IRPJ/CSLL na alienação futura (preço editável da aba anterior)</t>
  </si>
  <si>
    <t xml:space="preserve">IRPJ/CSLL total (cash out + alienação futura)</t>
  </si>
  <si>
    <t xml:space="preserve">Benefício máximo da tese do custo "gordinho" (34% × parcela incorporada)</t>
  </si>
  <si>
    <t xml:space="preserve">Check: economia no cash out + economia máxima na alienação − benefício máximo</t>
  </si>
  <si>
    <t xml:space="preserve">LEITURA</t>
  </si>
  <si>
    <t xml:space="preserve">Onde nasce a diferença</t>
  </si>
  <si>
    <t xml:space="preserve">Parcela incorporada de 345,0 por holding (690,0 no total) = reflexo do PL contábil da CNP (419,4) − diluição de 13,8% (74,4). Compõe custo na Hipótese B; não compõe na Hipótese A.</t>
  </si>
  <si>
    <t xml:space="preserve">Risco por camada</t>
  </si>
  <si>
    <t xml:space="preserve">Perda de diluição (33,0): menor controvérsia · reflexo do PL contábil da CNP (472,5): neutralidade defensável (MEP / variação de participação) · reflexo da parcela AVJ implícita (250,5): maior risco de requalificação.</t>
  </si>
  <si>
    <t xml:space="preserve">Enquadramento</t>
  </si>
  <si>
    <t xml:space="preserve">A definição CPC 15 x CPC 19 cabe ao auditor. Sob CPC 19, o AVJ fica "carimbado" a 34% em subconta e a Hipótese B deixa de existir.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</si>
</sst>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.0;[RED]\(#,##0.0\)"/>
    <numFmt numFmtId="167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EAF0FB"/>
        <bgColor rgb="FFFFFFFF"/>
      </patternFill>
    </fill>
    <fill>
      <patternFill patternType="solid">
        <fgColor rgb="FFFFF2CC"/>
        <bgColor rgb="FFEAF0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2CC"/>
      <rgbColor rgb="FFEAF0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1399680</xdr:colOff>
      <xdr:row>0</xdr:row>
      <xdr:rowOff>333000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22120" y="0"/>
          <a:ext cx="1399680" cy="333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0"/>
    <col collapsed="false" customWidth="true" hidden="false" outlineLevel="0" max="3" min="3" style="0" width="13"/>
    <col collapsed="false" customWidth="true" hidden="false" outlineLevel="0" max="4" min="4" style="0" width="52"/>
  </cols>
  <sheetData>
    <row r="1" customFormat="false" ht="143.25" hidden="false" customHeight="false" outlineLevel="0" collapsed="false">
      <c r="E1" s="1" t="s">
        <v>0</v>
      </c>
    </row>
    <row r="2" customFormat="false" ht="105.95" hidden="false" customHeight="false" outlineLevel="0" collapsed="false">
      <c r="E2" s="2" t="s">
        <v>1</v>
      </c>
    </row>
    <row r="4" customFormat="false" ht="22.35" hidden="false" customHeight="false" outlineLevel="0" collapsed="false">
      <c r="B4" s="2" t="s">
        <v>2</v>
      </c>
    </row>
    <row r="6" customFormat="false" ht="15" hidden="false" customHeight="true" outlineLevel="0" collapsed="false">
      <c r="B6" s="3" t="s">
        <v>3</v>
      </c>
      <c r="C6" s="3"/>
      <c r="D6" s="3"/>
    </row>
    <row r="7" customFormat="false" ht="15" hidden="false" customHeight="false" outlineLevel="0" collapsed="false">
      <c r="B7" s="4" t="s">
        <v>4</v>
      </c>
      <c r="C7" s="5" t="s">
        <v>5</v>
      </c>
      <c r="D7" s="6"/>
    </row>
    <row r="8" customFormat="false" ht="15" hidden="false" customHeight="false" outlineLevel="0" collapsed="false">
      <c r="B8" s="7" t="s">
        <v>6</v>
      </c>
      <c r="C8" s="8" t="n">
        <v>0.138</v>
      </c>
      <c r="D8" s="9" t="s">
        <v>7</v>
      </c>
    </row>
    <row r="9" customFormat="false" ht="15" hidden="false" customHeight="false" outlineLevel="0" collapsed="false">
      <c r="B9" s="4" t="s">
        <v>8</v>
      </c>
      <c r="C9" s="8" t="n">
        <v>0.4</v>
      </c>
      <c r="D9" s="6" t="s">
        <v>9</v>
      </c>
    </row>
    <row r="10" customFormat="false" ht="15" hidden="false" customHeight="false" outlineLevel="0" collapsed="false">
      <c r="B10" s="7" t="s">
        <v>10</v>
      </c>
      <c r="C10" s="8" t="n">
        <v>0.34</v>
      </c>
      <c r="D10" s="9" t="s">
        <v>11</v>
      </c>
    </row>
    <row r="11" customFormat="false" ht="15" hidden="false" customHeight="false" outlineLevel="0" collapsed="false">
      <c r="B11" s="4" t="s">
        <v>12</v>
      </c>
      <c r="C11" s="10" t="n">
        <v>120</v>
      </c>
      <c r="D11" s="6" t="s">
        <v>13</v>
      </c>
    </row>
    <row r="12" customFormat="false" ht="15" hidden="false" customHeight="false" outlineLevel="0" collapsed="false">
      <c r="B12" s="7" t="s">
        <v>14</v>
      </c>
      <c r="C12" s="10" t="n">
        <v>600</v>
      </c>
      <c r="D12" s="9" t="s">
        <v>15</v>
      </c>
    </row>
    <row r="14" customFormat="false" ht="15" hidden="false" customHeight="true" outlineLevel="0" collapsed="false">
      <c r="B14" s="3" t="s">
        <v>16</v>
      </c>
      <c r="C14" s="3"/>
      <c r="D14" s="3"/>
    </row>
    <row r="15" customFormat="false" ht="15" hidden="false" customHeight="false" outlineLevel="0" collapsed="false">
      <c r="B15" s="7" t="s">
        <v>17</v>
      </c>
      <c r="C15" s="10" t="n">
        <v>866</v>
      </c>
      <c r="D15" s="9" t="s">
        <v>18</v>
      </c>
    </row>
    <row r="16" customFormat="false" ht="15" hidden="false" customHeight="false" outlineLevel="0" collapsed="false">
      <c r="B16" s="4" t="s">
        <v>19</v>
      </c>
      <c r="C16" s="10" t="n">
        <v>300</v>
      </c>
      <c r="D16" s="6" t="s">
        <v>20</v>
      </c>
    </row>
    <row r="17" customFormat="false" ht="15" hidden="false" customHeight="false" outlineLevel="0" collapsed="false">
      <c r="B17" s="11" t="s">
        <v>21</v>
      </c>
      <c r="C17" s="12" t="n">
        <f aca="false">C16/C15</f>
        <v>0.346420323325635</v>
      </c>
      <c r="D17" s="9" t="s">
        <v>22</v>
      </c>
    </row>
    <row r="18" customFormat="false" ht="15" hidden="false" customHeight="false" outlineLevel="0" collapsed="false">
      <c r="B18" s="11" t="s">
        <v>23</v>
      </c>
      <c r="C18" s="12" t="n">
        <f aca="false">1-C17</f>
        <v>0.653579676674365</v>
      </c>
      <c r="D18" s="7"/>
    </row>
  </sheetData>
  <mergeCells count="2">
    <mergeCell ref="B6:D6"/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6"/>
    <col collapsed="false" customWidth="true" hidden="false" outlineLevel="0" max="6" min="3" style="0" width="13.5"/>
  </cols>
  <sheetData>
    <row r="1" customFormat="false" ht="29.85" hidden="false" customHeight="false" outlineLevel="0" collapsed="false">
      <c r="B1" s="1" t="s">
        <v>24</v>
      </c>
    </row>
    <row r="3" customFormat="false" ht="15" hidden="false" customHeight="true" outlineLevel="0" collapsed="false">
      <c r="B3" s="3" t="s">
        <v>25</v>
      </c>
      <c r="C3" s="3"/>
      <c r="D3" s="3"/>
      <c r="E3" s="3"/>
      <c r="F3" s="3"/>
    </row>
    <row r="4" customFormat="false" ht="15" hidden="false" customHeight="false" outlineLevel="0" collapsed="false">
      <c r="B4" s="13"/>
      <c r="C4" s="14" t="s">
        <v>26</v>
      </c>
      <c r="D4" s="14" t="s">
        <v>27</v>
      </c>
      <c r="E4" s="14" t="s">
        <v>28</v>
      </c>
      <c r="F4" s="14" t="s">
        <v>29</v>
      </c>
    </row>
    <row r="5" customFormat="false" ht="15" hidden="false" customHeight="false" outlineLevel="0" collapsed="false">
      <c r="B5" s="7" t="s">
        <v>30</v>
      </c>
      <c r="C5" s="15" t="n">
        <f aca="false">C11</f>
        <v>119.744</v>
      </c>
      <c r="D5" s="15" t="n">
        <f aca="false">D11</f>
        <v>119.744</v>
      </c>
      <c r="E5" s="10" t="n">
        <v>26138.03</v>
      </c>
      <c r="F5" s="10" t="n">
        <v>17611.435</v>
      </c>
    </row>
    <row r="6" customFormat="false" ht="15" hidden="false" customHeight="false" outlineLevel="0" collapsed="false">
      <c r="B6" s="4" t="s">
        <v>31</v>
      </c>
      <c r="C6" s="16" t="n">
        <v>0</v>
      </c>
      <c r="D6" s="16" t="n">
        <v>0</v>
      </c>
      <c r="E6" s="10" t="n">
        <v>25898.882</v>
      </c>
      <c r="F6" s="10" t="n">
        <v>16771.856</v>
      </c>
    </row>
    <row r="7" customFormat="false" ht="15" hidden="false" customHeight="false" outlineLevel="0" collapsed="false">
      <c r="B7" s="11" t="s">
        <v>32</v>
      </c>
      <c r="C7" s="17" t="n">
        <f aca="false">E7/2</f>
        <v>119.744</v>
      </c>
      <c r="D7" s="17" t="n">
        <f aca="false">E7/2</f>
        <v>119.744</v>
      </c>
      <c r="E7" s="17" t="n">
        <f aca="false">SUM(E8:E10)</f>
        <v>239.488</v>
      </c>
      <c r="F7" s="17" t="n">
        <f aca="false">SUM(F8:F10)</f>
        <v>838.735</v>
      </c>
    </row>
    <row r="8" customFormat="false" ht="15" hidden="false" customHeight="false" outlineLevel="0" collapsed="false">
      <c r="B8" s="7" t="s">
        <v>33</v>
      </c>
      <c r="C8" s="7"/>
      <c r="D8" s="7"/>
      <c r="E8" s="10" t="n">
        <v>85</v>
      </c>
      <c r="F8" s="10" t="n">
        <v>519</v>
      </c>
    </row>
    <row r="9" customFormat="false" ht="15" hidden="false" customHeight="false" outlineLevel="0" collapsed="false">
      <c r="B9" s="4" t="s">
        <v>34</v>
      </c>
      <c r="C9" s="4"/>
      <c r="D9" s="4"/>
      <c r="E9" s="10" t="n">
        <v>274.488</v>
      </c>
      <c r="F9" s="10" t="n">
        <v>319.735</v>
      </c>
    </row>
    <row r="10" customFormat="false" ht="15" hidden="false" customHeight="false" outlineLevel="0" collapsed="false">
      <c r="B10" s="7" t="s">
        <v>35</v>
      </c>
      <c r="C10" s="7"/>
      <c r="D10" s="7"/>
      <c r="E10" s="15" t="n">
        <f aca="false">-Premissas!$C$11</f>
        <v>-120</v>
      </c>
      <c r="F10" s="7"/>
    </row>
    <row r="11" customFormat="false" ht="15" hidden="false" customHeight="false" outlineLevel="0" collapsed="false">
      <c r="B11" s="11" t="s">
        <v>36</v>
      </c>
      <c r="C11" s="17" t="n">
        <f aca="false">E7/2</f>
        <v>119.744</v>
      </c>
      <c r="D11" s="17" t="n">
        <f aca="false">E7/2</f>
        <v>119.744</v>
      </c>
      <c r="E11" s="7"/>
      <c r="F11" s="7"/>
    </row>
    <row r="12" customFormat="false" ht="15" hidden="false" customHeight="false" outlineLevel="0" collapsed="false">
      <c r="B12" s="13" t="s">
        <v>37</v>
      </c>
      <c r="C12" s="18" t="n">
        <f aca="false">E7+F7</f>
        <v>1078.223</v>
      </c>
      <c r="D12" s="4"/>
      <c r="E12" s="4"/>
      <c r="F12" s="4"/>
    </row>
    <row r="13" customFormat="false" ht="22.35" hidden="false" customHeight="false" outlineLevel="0" collapsed="false">
      <c r="B13" s="2" t="s">
        <v>38</v>
      </c>
    </row>
    <row r="15" customFormat="false" ht="15" hidden="false" customHeight="true" outlineLevel="0" collapsed="false">
      <c r="B15" s="3" t="s">
        <v>39</v>
      </c>
      <c r="C15" s="3"/>
      <c r="D15" s="3"/>
      <c r="E15" s="3"/>
      <c r="F15" s="3"/>
    </row>
    <row r="16" customFormat="false" ht="15" hidden="false" customHeight="false" outlineLevel="0" collapsed="false">
      <c r="B16" s="13"/>
      <c r="C16" s="14" t="s">
        <v>26</v>
      </c>
      <c r="D16" s="14" t="s">
        <v>27</v>
      </c>
      <c r="E16" s="14" t="s">
        <v>29</v>
      </c>
      <c r="F16" s="14" t="s">
        <v>40</v>
      </c>
    </row>
    <row r="17" customFormat="false" ht="15" hidden="false" customHeight="false" outlineLevel="0" collapsed="false">
      <c r="B17" s="7" t="s">
        <v>41</v>
      </c>
      <c r="C17" s="8" t="n">
        <v>0.5</v>
      </c>
      <c r="D17" s="8" t="n">
        <v>0.5</v>
      </c>
      <c r="E17" s="19" t="n">
        <v>0</v>
      </c>
      <c r="F17" s="19" t="n">
        <f aca="false">SUM(C17:E17)</f>
        <v>1</v>
      </c>
    </row>
    <row r="18" customFormat="false" ht="15" hidden="false" customHeight="false" outlineLevel="0" collapsed="false">
      <c r="B18" s="4" t="s">
        <v>42</v>
      </c>
      <c r="C18" s="16" t="n">
        <f aca="false">C11</f>
        <v>119.744</v>
      </c>
      <c r="D18" s="16" t="n">
        <f aca="false">D11</f>
        <v>119.744</v>
      </c>
      <c r="E18" s="4"/>
      <c r="F18" s="16" t="n">
        <f aca="false">C18+D18</f>
        <v>239.488</v>
      </c>
    </row>
    <row r="20" customFormat="false" ht="15" hidden="false" customHeight="true" outlineLevel="0" collapsed="false">
      <c r="B20" s="3" t="s">
        <v>43</v>
      </c>
      <c r="C20" s="3"/>
      <c r="D20" s="3"/>
      <c r="E20" s="3"/>
      <c r="F20" s="3"/>
    </row>
    <row r="21" customFormat="false" ht="15" hidden="false" customHeight="false" outlineLevel="0" collapsed="false">
      <c r="B21" s="13"/>
      <c r="C21" s="14" t="s">
        <v>26</v>
      </c>
      <c r="D21" s="14" t="s">
        <v>27</v>
      </c>
      <c r="E21" s="14" t="s">
        <v>29</v>
      </c>
      <c r="F21" s="14" t="s">
        <v>40</v>
      </c>
    </row>
    <row r="22" customFormat="false" ht="15" hidden="false" customHeight="false" outlineLevel="0" collapsed="false">
      <c r="B22" s="11" t="s">
        <v>44</v>
      </c>
      <c r="C22" s="12" t="n">
        <f aca="false">C17*(1-Premissas!$C$8)</f>
        <v>0.431</v>
      </c>
      <c r="D22" s="12" t="n">
        <f aca="false">D17*(1-Premissas!$C$8)</f>
        <v>0.431</v>
      </c>
      <c r="E22" s="12" t="n">
        <f aca="false">Premissas!$C$8</f>
        <v>0.138</v>
      </c>
      <c r="F22" s="20" t="n">
        <f aca="false">SUM(C22:E22)</f>
        <v>1</v>
      </c>
    </row>
    <row r="24" customFormat="false" ht="22.35" hidden="false" customHeight="false" outlineLevel="0" collapsed="false">
      <c r="B24" s="13" t="s">
        <v>45</v>
      </c>
      <c r="C24" s="14" t="s">
        <v>46</v>
      </c>
      <c r="D24" s="14" t="s">
        <v>47</v>
      </c>
      <c r="E24" s="4"/>
      <c r="F24" s="4"/>
    </row>
    <row r="25" customFormat="false" ht="15" hidden="false" customHeight="false" outlineLevel="0" collapsed="false">
      <c r="B25" s="7" t="s">
        <v>48</v>
      </c>
      <c r="C25" s="15" t="n">
        <f aca="false">C11</f>
        <v>119.744</v>
      </c>
      <c r="D25" s="15" t="n">
        <f aca="false">C25*2</f>
        <v>239.488</v>
      </c>
      <c r="E25" s="7"/>
      <c r="F25" s="7"/>
    </row>
    <row r="26" customFormat="false" ht="15" hidden="false" customHeight="false" outlineLevel="0" collapsed="false">
      <c r="B26" s="7" t="s">
        <v>49</v>
      </c>
      <c r="C26" s="15" t="n">
        <f aca="false">F7/2</f>
        <v>419.3675</v>
      </c>
      <c r="D26" s="15" t="n">
        <f aca="false">C26*2</f>
        <v>838.735</v>
      </c>
      <c r="E26" s="7"/>
      <c r="F26" s="7"/>
    </row>
    <row r="27" customFormat="false" ht="15" hidden="false" customHeight="false" outlineLevel="0" collapsed="false">
      <c r="B27" s="7" t="s">
        <v>50</v>
      </c>
      <c r="C27" s="15" t="n">
        <f aca="false">-(C25+C26)*Premissas!$C$8</f>
        <v>-74.397387</v>
      </c>
      <c r="D27" s="15" t="n">
        <f aca="false">C27*2</f>
        <v>-148.794774</v>
      </c>
      <c r="E27" s="7"/>
      <c r="F27" s="7"/>
    </row>
    <row r="28" customFormat="false" ht="15" hidden="false" customHeight="false" outlineLevel="0" collapsed="false">
      <c r="B28" s="11" t="s">
        <v>51</v>
      </c>
      <c r="C28" s="17" t="n">
        <f aca="false">C26+C27</f>
        <v>344.970113</v>
      </c>
      <c r="D28" s="17" t="n">
        <f aca="false">C28*2</f>
        <v>689.940226</v>
      </c>
      <c r="E28" s="7"/>
      <c r="F28" s="7"/>
    </row>
    <row r="29" customFormat="false" ht="15" hidden="false" customHeight="false" outlineLevel="0" collapsed="false">
      <c r="B29" s="11" t="s">
        <v>52</v>
      </c>
      <c r="C29" s="17" t="n">
        <f aca="false">C25+C28</f>
        <v>464.714113</v>
      </c>
      <c r="D29" s="17" t="n">
        <f aca="false">C29*2</f>
        <v>929.428226</v>
      </c>
      <c r="E29" s="7"/>
      <c r="F29" s="7"/>
    </row>
    <row r="30" customFormat="false" ht="15" hidden="false" customHeight="false" outlineLevel="0" collapsed="false">
      <c r="B30" s="9" t="s">
        <v>53</v>
      </c>
      <c r="C30" s="21" t="n">
        <f aca="false">C22*C12-C29</f>
        <v>0</v>
      </c>
      <c r="D30" s="7"/>
      <c r="E30" s="7"/>
      <c r="F30" s="7"/>
    </row>
    <row r="32" customFormat="false" ht="15" hidden="false" customHeight="false" outlineLevel="0" collapsed="false">
      <c r="B32" s="13" t="s">
        <v>54</v>
      </c>
      <c r="C32" s="14" t="s">
        <v>55</v>
      </c>
      <c r="D32" s="14" t="s">
        <v>56</v>
      </c>
      <c r="E32" s="14" t="s">
        <v>57</v>
      </c>
      <c r="F32" s="4"/>
    </row>
    <row r="33" customFormat="false" ht="15" hidden="false" customHeight="false" outlineLevel="0" collapsed="false">
      <c r="B33" s="7" t="s">
        <v>58</v>
      </c>
      <c r="C33" s="15" t="n">
        <f aca="false">E7</f>
        <v>239.488</v>
      </c>
      <c r="D33" s="15" t="n">
        <f aca="false">C33*(1-Premissas!$C$8)</f>
        <v>206.438656</v>
      </c>
      <c r="E33" s="15" t="n">
        <f aca="false">D33-C33</f>
        <v>-33.049344</v>
      </c>
      <c r="F33" s="7"/>
    </row>
    <row r="34" customFormat="false" ht="15" hidden="false" customHeight="false" outlineLevel="0" collapsed="false">
      <c r="B34" s="7" t="s">
        <v>59</v>
      </c>
      <c r="C34" s="15" t="n">
        <f aca="false">F7*Premissas!$C$18</f>
        <v>548.180150115474</v>
      </c>
      <c r="D34" s="15" t="n">
        <f aca="false">C34*(1-Premissas!$C$8)</f>
        <v>472.531289399538</v>
      </c>
      <c r="E34" s="15" t="n">
        <f aca="false">D34</f>
        <v>472.531289399538</v>
      </c>
      <c r="F34" s="7"/>
    </row>
    <row r="35" customFormat="false" ht="15" hidden="false" customHeight="false" outlineLevel="0" collapsed="false">
      <c r="B35" s="7" t="s">
        <v>60</v>
      </c>
      <c r="C35" s="15" t="n">
        <f aca="false">F7*Premissas!$C$17</f>
        <v>290.554849884527</v>
      </c>
      <c r="D35" s="15" t="n">
        <f aca="false">C35*(1-Premissas!$C$8)</f>
        <v>250.458280600462</v>
      </c>
      <c r="E35" s="15" t="n">
        <f aca="false">D35</f>
        <v>250.458280600462</v>
      </c>
      <c r="F35" s="7"/>
    </row>
    <row r="36" customFormat="false" ht="15" hidden="false" customHeight="false" outlineLevel="0" collapsed="false">
      <c r="B36" s="13" t="s">
        <v>61</v>
      </c>
      <c r="C36" s="18" t="n">
        <f aca="false">SUM(C33:C35)</f>
        <v>1078.223</v>
      </c>
      <c r="D36" s="18" t="n">
        <f aca="false">SUM(D33:D35)</f>
        <v>929.428226</v>
      </c>
      <c r="E36" s="18" t="n">
        <f aca="false">SUM(E33:E35)</f>
        <v>689.940226</v>
      </c>
      <c r="F36" s="4"/>
    </row>
    <row r="38" customFormat="false" ht="15" hidden="false" customHeight="true" outlineLevel="0" collapsed="false">
      <c r="B38" s="3" t="s">
        <v>62</v>
      </c>
      <c r="C38" s="3"/>
      <c r="D38" s="3"/>
      <c r="E38" s="3"/>
      <c r="F38" s="3"/>
    </row>
    <row r="39" customFormat="false" ht="15" hidden="false" customHeight="false" outlineLevel="0" collapsed="false">
      <c r="B39" s="11" t="s">
        <v>63</v>
      </c>
      <c r="C39" s="17" t="n">
        <f aca="false">C11</f>
        <v>119.744</v>
      </c>
      <c r="D39" s="7"/>
      <c r="E39" s="7"/>
      <c r="F39" s="7"/>
    </row>
    <row r="40" customFormat="false" ht="15" hidden="false" customHeight="false" outlineLevel="0" collapsed="false">
      <c r="B40" s="13" t="s">
        <v>64</v>
      </c>
      <c r="C40" s="18" t="n">
        <f aca="false">C29</f>
        <v>464.714113</v>
      </c>
      <c r="D40" s="4"/>
      <c r="E40" s="4"/>
      <c r="F40" s="4"/>
    </row>
    <row r="41" customFormat="false" ht="15" hidden="false" customHeight="false" outlineLevel="0" collapsed="false">
      <c r="B41" s="11" t="s">
        <v>65</v>
      </c>
      <c r="C41" s="17" t="n">
        <f aca="false">D28</f>
        <v>689.940226</v>
      </c>
      <c r="D41" s="7"/>
      <c r="E41" s="7"/>
      <c r="F41" s="7"/>
    </row>
    <row r="43" customFormat="false" ht="15" hidden="false" customHeight="true" outlineLevel="0" collapsed="false">
      <c r="B43" s="3" t="s">
        <v>66</v>
      </c>
      <c r="C43" s="3"/>
      <c r="D43" s="3"/>
      <c r="E43" s="3"/>
      <c r="F43" s="3"/>
    </row>
    <row r="44" customFormat="false" ht="15" hidden="false" customHeight="false" outlineLevel="0" collapsed="false">
      <c r="B44" s="13"/>
      <c r="C44" s="14" t="s">
        <v>26</v>
      </c>
      <c r="D44" s="14" t="s">
        <v>27</v>
      </c>
      <c r="E44" s="14" t="s">
        <v>29</v>
      </c>
      <c r="F44" s="14" t="s">
        <v>40</v>
      </c>
    </row>
    <row r="45" customFormat="false" ht="15" hidden="false" customHeight="false" outlineLevel="0" collapsed="false">
      <c r="B45" s="7" t="s">
        <v>44</v>
      </c>
      <c r="C45" s="22" t="n">
        <f aca="false">C22</f>
        <v>0.431</v>
      </c>
      <c r="D45" s="22" t="n">
        <f aca="false">D22</f>
        <v>0.431</v>
      </c>
      <c r="E45" s="22" t="n">
        <f aca="false">E22</f>
        <v>0.138</v>
      </c>
      <c r="F45" s="19" t="n">
        <f aca="false">SUM(C45:E45)</f>
        <v>1</v>
      </c>
    </row>
    <row r="46" customFormat="false" ht="15" hidden="false" customHeight="false" outlineLevel="0" collapsed="false">
      <c r="B46" s="4" t="s">
        <v>67</v>
      </c>
      <c r="C46" s="23" t="n">
        <f aca="false">-(Premissas!$C$9-Premissas!$C$8)/2</f>
        <v>-0.131</v>
      </c>
      <c r="D46" s="23" t="n">
        <f aca="false">C46</f>
        <v>-0.131</v>
      </c>
      <c r="E46" s="23" t="n">
        <f aca="false">Premissas!$C$9-Premissas!$C$8</f>
        <v>0.262</v>
      </c>
      <c r="F46" s="24" t="n">
        <f aca="false">SUM(C46:E46)</f>
        <v>0</v>
      </c>
    </row>
    <row r="47" customFormat="false" ht="15" hidden="false" customHeight="false" outlineLevel="0" collapsed="false">
      <c r="B47" s="11" t="s">
        <v>68</v>
      </c>
      <c r="C47" s="20" t="n">
        <f aca="false">C45+C46</f>
        <v>0.3</v>
      </c>
      <c r="D47" s="20" t="n">
        <f aca="false">D45+D46</f>
        <v>0.3</v>
      </c>
      <c r="E47" s="20" t="n">
        <f aca="false">E45+E46</f>
        <v>0.4</v>
      </c>
      <c r="F47" s="20" t="n">
        <f aca="false">SUM(C47:E47)</f>
        <v>1</v>
      </c>
    </row>
    <row r="48" customFormat="false" ht="15" hidden="false" customHeight="false" outlineLevel="0" collapsed="false">
      <c r="B48" s="11" t="s">
        <v>69</v>
      </c>
      <c r="C48" s="12" t="n">
        <f aca="false">-C46/C45</f>
        <v>0.303944315545244</v>
      </c>
      <c r="D48" s="7"/>
      <c r="E48" s="7"/>
      <c r="F48" s="7"/>
    </row>
    <row r="50" customFormat="false" ht="22.35" hidden="false" customHeight="false" outlineLevel="0" collapsed="false">
      <c r="B50" s="13" t="s">
        <v>70</v>
      </c>
      <c r="C50" s="14" t="s">
        <v>71</v>
      </c>
      <c r="D50" s="14" t="s">
        <v>72</v>
      </c>
      <c r="E50" s="4"/>
      <c r="F50" s="4"/>
    </row>
    <row r="51" customFormat="false" ht="15" hidden="false" customHeight="false" outlineLevel="0" collapsed="false">
      <c r="B51" s="7" t="s">
        <v>73</v>
      </c>
      <c r="C51" s="15" t="n">
        <f aca="false">Premissas!$C$12</f>
        <v>600</v>
      </c>
      <c r="D51" s="15" t="n">
        <f aca="false">Premissas!$C$12</f>
        <v>600</v>
      </c>
      <c r="E51" s="7"/>
      <c r="F51" s="7"/>
    </row>
    <row r="52" customFormat="false" ht="15" hidden="false" customHeight="false" outlineLevel="0" collapsed="false">
      <c r="B52" s="7" t="s">
        <v>74</v>
      </c>
      <c r="C52" s="15" t="n">
        <f aca="false">-C11*$C$48</f>
        <v>-36.3955081206497</v>
      </c>
      <c r="D52" s="15" t="n">
        <f aca="false">-C29*$C$48</f>
        <v>-141.247213</v>
      </c>
      <c r="E52" s="7"/>
      <c r="F52" s="7"/>
    </row>
    <row r="53" customFormat="false" ht="15" hidden="false" customHeight="false" outlineLevel="0" collapsed="false">
      <c r="B53" s="7" t="s">
        <v>75</v>
      </c>
      <c r="C53" s="15" t="n">
        <f aca="false">C51+C52</f>
        <v>563.60449187935</v>
      </c>
      <c r="D53" s="15" t="n">
        <f aca="false">D51+D52</f>
        <v>458.752787</v>
      </c>
      <c r="E53" s="7"/>
      <c r="F53" s="7"/>
    </row>
    <row r="54" customFormat="false" ht="15" hidden="false" customHeight="false" outlineLevel="0" collapsed="false">
      <c r="B54" s="11" t="s">
        <v>76</v>
      </c>
      <c r="C54" s="17" t="n">
        <f aca="false">C53*Premissas!$C$10</f>
        <v>191.625527238979</v>
      </c>
      <c r="D54" s="17" t="n">
        <f aca="false">D53*Premissas!$C$10</f>
        <v>155.97594758</v>
      </c>
      <c r="E54" s="7"/>
      <c r="F54" s="7"/>
    </row>
    <row r="55" customFormat="false" ht="15" hidden="false" customHeight="false" outlineLevel="0" collapsed="false">
      <c r="B55" s="7" t="s">
        <v>77</v>
      </c>
      <c r="C55" s="15" t="n">
        <f aca="false">C51-C54</f>
        <v>408.374472761021</v>
      </c>
      <c r="D55" s="15" t="n">
        <f aca="false">D51-D54</f>
        <v>444.02405242</v>
      </c>
      <c r="E55" s="7"/>
      <c r="F55" s="7"/>
    </row>
    <row r="56" customFormat="false" ht="15" hidden="false" customHeight="false" outlineLevel="0" collapsed="false">
      <c r="B56" s="7" t="s">
        <v>78</v>
      </c>
      <c r="C56" s="15" t="n">
        <f aca="false">C11+C52</f>
        <v>83.3484918793504</v>
      </c>
      <c r="D56" s="15" t="n">
        <f aca="false">C29+D52</f>
        <v>323.4669</v>
      </c>
      <c r="E56" s="7"/>
      <c r="F56" s="7"/>
    </row>
    <row r="58" customFormat="false" ht="15" hidden="false" customHeight="true" outlineLevel="0" collapsed="false">
      <c r="B58" s="3" t="s">
        <v>79</v>
      </c>
      <c r="C58" s="3"/>
      <c r="D58" s="3"/>
      <c r="E58" s="3"/>
      <c r="F58" s="3"/>
    </row>
    <row r="59" customFormat="false" ht="15" hidden="false" customHeight="false" outlineLevel="0" collapsed="false">
      <c r="B59" s="11" t="s">
        <v>80</v>
      </c>
      <c r="C59" s="17" t="n">
        <f aca="false">C54*2</f>
        <v>383.251054477958</v>
      </c>
      <c r="D59" s="7"/>
      <c r="E59" s="7"/>
      <c r="F59" s="7"/>
    </row>
    <row r="60" customFormat="false" ht="15" hidden="false" customHeight="false" outlineLevel="0" collapsed="false">
      <c r="B60" s="13" t="s">
        <v>81</v>
      </c>
      <c r="C60" s="18" t="n">
        <f aca="false">D54*2</f>
        <v>311.95189516</v>
      </c>
      <c r="D60" s="4"/>
      <c r="E60" s="4"/>
      <c r="F60" s="4"/>
    </row>
    <row r="61" customFormat="false" ht="15" hidden="false" customHeight="false" outlineLevel="0" collapsed="false">
      <c r="B61" s="11" t="s">
        <v>82</v>
      </c>
      <c r="C61" s="17" t="n">
        <f aca="false">C59-C60</f>
        <v>71.2991593179582</v>
      </c>
      <c r="D61" s="7"/>
      <c r="E61" s="7"/>
      <c r="F61" s="7"/>
    </row>
    <row r="62" customFormat="false" ht="22.35" hidden="false" customHeight="false" outlineLevel="0" collapsed="false">
      <c r="B62" s="2" t="s">
        <v>83</v>
      </c>
    </row>
    <row r="64" customFormat="false" ht="15" hidden="false" customHeight="true" outlineLevel="0" collapsed="false">
      <c r="B64" s="3" t="s">
        <v>84</v>
      </c>
      <c r="C64" s="3"/>
      <c r="D64" s="3"/>
      <c r="E64" s="3"/>
      <c r="F64" s="3"/>
    </row>
    <row r="65" customFormat="false" ht="15" hidden="false" customHeight="false" outlineLevel="0" collapsed="false">
      <c r="B65" s="11" t="s">
        <v>85</v>
      </c>
      <c r="C65" s="25" t="n">
        <v>600</v>
      </c>
      <c r="D65" s="7"/>
      <c r="E65" s="7"/>
      <c r="F65" s="7"/>
    </row>
    <row r="66" customFormat="false" ht="22.35" hidden="false" customHeight="false" outlineLevel="0" collapsed="false">
      <c r="B66" s="13"/>
      <c r="C66" s="14" t="s">
        <v>71</v>
      </c>
      <c r="D66" s="14" t="s">
        <v>72</v>
      </c>
      <c r="E66" s="4"/>
      <c r="F66" s="4"/>
    </row>
    <row r="67" customFormat="false" ht="15" hidden="false" customHeight="false" outlineLevel="0" collapsed="false">
      <c r="B67" s="7" t="s">
        <v>86</v>
      </c>
      <c r="C67" s="15" t="n">
        <f aca="false">C56</f>
        <v>83.3484918793504</v>
      </c>
      <c r="D67" s="15" t="n">
        <f aca="false">D56</f>
        <v>323.4669</v>
      </c>
      <c r="E67" s="7"/>
      <c r="F67" s="7"/>
    </row>
    <row r="68" customFormat="false" ht="15" hidden="false" customHeight="false" outlineLevel="0" collapsed="false">
      <c r="B68" s="7" t="s">
        <v>87</v>
      </c>
      <c r="C68" s="15" t="n">
        <f aca="false">$C$65-C67</f>
        <v>516.65150812065</v>
      </c>
      <c r="D68" s="15" t="n">
        <f aca="false">$C$65-D67</f>
        <v>276.5331</v>
      </c>
      <c r="E68" s="7"/>
      <c r="F68" s="7"/>
    </row>
    <row r="69" customFormat="false" ht="15" hidden="false" customHeight="false" outlineLevel="0" collapsed="false">
      <c r="B69" s="11" t="s">
        <v>88</v>
      </c>
      <c r="C69" s="17" t="n">
        <f aca="false">MAX(0,C68)*Premissas!$C$10</f>
        <v>175.661512761021</v>
      </c>
      <c r="D69" s="17" t="n">
        <f aca="false">MAX(0,D68)*Premissas!$C$10</f>
        <v>94.021254</v>
      </c>
      <c r="E69" s="7"/>
      <c r="F69" s="7"/>
    </row>
    <row r="71" customFormat="false" ht="15" hidden="false" customHeight="true" outlineLevel="0" collapsed="false">
      <c r="B71" s="3" t="s">
        <v>89</v>
      </c>
      <c r="C71" s="3"/>
      <c r="D71" s="3"/>
      <c r="E71" s="3"/>
      <c r="F71" s="3"/>
    </row>
    <row r="72" customFormat="false" ht="15" hidden="false" customHeight="false" outlineLevel="0" collapsed="false">
      <c r="B72" s="11" t="s">
        <v>90</v>
      </c>
      <c r="C72" s="17" t="n">
        <f aca="false">(C69-D69)*2</f>
        <v>163.280517522042</v>
      </c>
      <c r="D72" s="7"/>
      <c r="E72" s="7"/>
      <c r="F72" s="7"/>
    </row>
    <row r="73" customFormat="false" ht="15" hidden="false" customHeight="false" outlineLevel="0" collapsed="false">
      <c r="B73" s="13" t="s">
        <v>91</v>
      </c>
      <c r="C73" s="18" t="n">
        <f aca="false">(D67-C67)*2*Premissas!$C$10</f>
        <v>163.280517522042</v>
      </c>
      <c r="D73" s="4"/>
      <c r="E73" s="4"/>
      <c r="F73" s="4"/>
    </row>
    <row r="74" customFormat="false" ht="22.35" hidden="false" customHeight="false" outlineLevel="0" collapsed="false">
      <c r="B74" s="2" t="s">
        <v>92</v>
      </c>
    </row>
  </sheetData>
  <mergeCells count="8">
    <mergeCell ref="B3:F3"/>
    <mergeCell ref="B15:F15"/>
    <mergeCell ref="B20:F20"/>
    <mergeCell ref="B38:F38"/>
    <mergeCell ref="B43:F43"/>
    <mergeCell ref="B58:F58"/>
    <mergeCell ref="B64:F64"/>
    <mergeCell ref="B71:F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0"/>
    <col collapsed="false" customWidth="true" hidden="false" outlineLevel="0" max="5" min="3" style="0" width="15"/>
  </cols>
  <sheetData>
    <row r="1" customFormat="false" ht="15" hidden="false" customHeight="false" outlineLevel="0" collapsed="false">
      <c r="B1" s="1" t="s">
        <v>93</v>
      </c>
    </row>
    <row r="3" customFormat="false" ht="15" hidden="false" customHeight="true" outlineLevel="0" collapsed="false">
      <c r="B3" s="3" t="s">
        <v>94</v>
      </c>
      <c r="C3" s="3"/>
      <c r="D3" s="3"/>
      <c r="E3" s="3"/>
    </row>
    <row r="4" customFormat="false" ht="22.35" hidden="false" customHeight="false" outlineLevel="0" collapsed="false">
      <c r="B4" s="13"/>
      <c r="C4" s="14" t="s">
        <v>71</v>
      </c>
      <c r="D4" s="14" t="s">
        <v>72</v>
      </c>
      <c r="E4" s="14" t="s">
        <v>95</v>
      </c>
    </row>
    <row r="5" customFormat="false" ht="15" hidden="false" customHeight="false" outlineLevel="0" collapsed="false">
      <c r="B5" s="4" t="s">
        <v>96</v>
      </c>
      <c r="C5" s="16" t="n">
        <f aca="false">'Incorporação CPC 15'!C11*2</f>
        <v>239.488</v>
      </c>
      <c r="D5" s="16" t="n">
        <f aca="false">'Incorporação CPC 15'!C29*2</f>
        <v>929.428226</v>
      </c>
      <c r="E5" s="16" t="n">
        <f aca="false">D5-C5</f>
        <v>689.940226</v>
      </c>
    </row>
    <row r="6" customFormat="false" ht="15" hidden="false" customHeight="false" outlineLevel="0" collapsed="false">
      <c r="B6" s="11" t="s">
        <v>97</v>
      </c>
      <c r="C6" s="17" t="n">
        <f aca="false">'Incorporação CPC 15'!C54*2</f>
        <v>383.251054477958</v>
      </c>
      <c r="D6" s="17" t="n">
        <f aca="false">'Incorporação CPC 15'!D54*2</f>
        <v>311.95189516</v>
      </c>
      <c r="E6" s="17" t="n">
        <f aca="false">C6-D6</f>
        <v>71.2991593179582</v>
      </c>
    </row>
    <row r="7" customFormat="false" ht="15" hidden="false" customHeight="false" outlineLevel="0" collapsed="false">
      <c r="B7" s="4" t="s">
        <v>98</v>
      </c>
      <c r="C7" s="16" t="n">
        <f aca="false">'Incorporação CPC 15'!C56*2</f>
        <v>166.696983758701</v>
      </c>
      <c r="D7" s="16" t="n">
        <f aca="false">'Incorporação CPC 15'!D56*2</f>
        <v>646.9338</v>
      </c>
      <c r="E7" s="16" t="n">
        <f aca="false">D7-C7</f>
        <v>480.236816241299</v>
      </c>
    </row>
    <row r="8" customFormat="false" ht="15" hidden="false" customHeight="false" outlineLevel="0" collapsed="false">
      <c r="B8" s="11" t="s">
        <v>99</v>
      </c>
      <c r="C8" s="17" t="n">
        <f aca="false">'Incorporação CPC 15'!C69*2</f>
        <v>351.323025522042</v>
      </c>
      <c r="D8" s="17" t="n">
        <f aca="false">'Incorporação CPC 15'!D69*2</f>
        <v>188.042508</v>
      </c>
      <c r="E8" s="17" t="n">
        <f aca="false">C8-D8</f>
        <v>163.280517522042</v>
      </c>
    </row>
    <row r="9" customFormat="false" ht="15" hidden="false" customHeight="false" outlineLevel="0" collapsed="false">
      <c r="B9" s="11" t="s">
        <v>100</v>
      </c>
      <c r="C9" s="17" t="n">
        <f aca="false">C6+C8</f>
        <v>734.57408</v>
      </c>
      <c r="D9" s="17" t="n">
        <f aca="false">D6+D8</f>
        <v>499.99440316</v>
      </c>
      <c r="E9" s="17" t="n">
        <f aca="false">C9-D9</f>
        <v>234.57967684</v>
      </c>
    </row>
    <row r="10" customFormat="false" ht="22.35" hidden="false" customHeight="false" outlineLevel="0" collapsed="false">
      <c r="B10" s="13" t="s">
        <v>101</v>
      </c>
      <c r="C10" s="4"/>
      <c r="D10" s="4"/>
      <c r="E10" s="18" t="n">
        <f aca="false">'Incorporação CPC 15'!D28*Premissas!$C$10</f>
        <v>234.57967684</v>
      </c>
    </row>
    <row r="11" customFormat="false" ht="22.35" hidden="false" customHeight="false" outlineLevel="0" collapsed="false">
      <c r="B11" s="9" t="s">
        <v>102</v>
      </c>
      <c r="C11" s="7"/>
      <c r="D11" s="7"/>
      <c r="E11" s="21" t="n">
        <f aca="false">E6+'Incorporação CPC 15'!C73-E10</f>
        <v>0</v>
      </c>
    </row>
    <row r="13" customFormat="false" ht="15" hidden="false" customHeight="true" outlineLevel="0" collapsed="false">
      <c r="B13" s="3" t="s">
        <v>103</v>
      </c>
      <c r="C13" s="3"/>
      <c r="D13" s="3"/>
      <c r="E13" s="3"/>
    </row>
    <row r="14" customFormat="false" ht="30" hidden="false" customHeight="true" outlineLevel="0" collapsed="false">
      <c r="B14" s="26" t="s">
        <v>104</v>
      </c>
      <c r="C14" s="27" t="s">
        <v>105</v>
      </c>
      <c r="D14" s="27"/>
      <c r="E14" s="27"/>
    </row>
    <row r="15" customFormat="false" ht="30" hidden="false" customHeight="true" outlineLevel="0" collapsed="false">
      <c r="B15" s="26" t="s">
        <v>106</v>
      </c>
      <c r="C15" s="27" t="s">
        <v>107</v>
      </c>
      <c r="D15" s="27"/>
      <c r="E15" s="27"/>
    </row>
    <row r="16" customFormat="false" ht="30" hidden="false" customHeight="true" outlineLevel="0" collapsed="false">
      <c r="B16" s="26" t="s">
        <v>108</v>
      </c>
      <c r="C16" s="27" t="s">
        <v>109</v>
      </c>
      <c r="D16" s="27"/>
      <c r="E16" s="27"/>
    </row>
  </sheetData>
  <mergeCells count="5">
    <mergeCell ref="B3:E3"/>
    <mergeCell ref="B13:E13"/>
    <mergeCell ref="C14:E14"/>
    <mergeCell ref="C15:E15"/>
    <mergeCell ref="C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2026-08-31T09:33:37Z</dcterms:created>
  <dc:creator>openpyxl</dc:creator>
  <dc:description/>
  <dc:language>en-US</dc:language>
  <cp:lastModifiedBy/>
  <dcterms:modified xsi:type="dcterms:W3CDTF">2026-08-31T09:33:37Z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