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xto" sheetId="1" state="visible" r:id="rId3"/>
    <sheet name="Premissas" sheetId="2" state="visible" r:id="rId4"/>
    <sheet name="1. Situação Antes" sheetId="3" state="visible" r:id="rId5"/>
    <sheet name="2. Incorporação CPC 15" sheetId="4" state="visible" r:id="rId6"/>
    <sheet name="3. Cash Out" sheetId="5" state="visible" r:id="rId7"/>
    <sheet name="4. Caixa PJ x PF" sheetId="6" state="visible" r:id="rId8"/>
    <sheet name="5. Alienação Futura" sheetId="7" state="visible" r:id="rId9"/>
    <sheet name="Conclusão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Custo/valor contábil do investimento na Embracon = 50% do PL da Embracon (premissa do draft: custo = valor patrimonial via MEP).</t>
        </r>
      </text>
    </comment>
    <comment ref="F9" authorId="0">
      <text>
        <r>
          <rPr>
            <sz val="10"/>
            <rFont val="Arial"/>
            <family val="2"/>
          </rPr>
          <t xml:space="preserve">Custo/valor contábil do investimento na Embracon = 50% do PL da Embracon (premissa do draft: custo = valor patrimonial via MEP).</t>
        </r>
      </text>
    </comment>
    <comment ref="I6" authorId="0">
      <text>
        <r>
          <rPr>
            <sz val="10"/>
            <rFont val="Arial"/>
            <family val="2"/>
          </rPr>
          <t xml:space="preserve">Draft: 2.265,980 − 1.937,402 (reclassificação do ativo CPC 47 para linha própria).</t>
        </r>
      </text>
    </comment>
    <comment ref="I13" authorId="0">
      <text>
        <r>
          <rPr>
            <sz val="10"/>
            <rFont val="Arial"/>
            <family val="2"/>
          </rPr>
          <t xml:space="preserve">Draft: 1.964,818 − 1.544,758 (reclassificação do passivo CPC 47 para linha própria).</t>
        </r>
      </text>
    </comment>
    <comment ref="I20" authorId="0">
      <text>
        <r>
          <rPr>
            <sz val="10"/>
            <rFont val="Arial"/>
            <family val="2"/>
          </rPr>
          <t xml:space="preserve">Draft: 268,488 + 6,000.</t>
        </r>
      </text>
    </comment>
    <comment ref="I24" authorId="0">
      <text>
        <r>
          <rPr>
            <sz val="10"/>
            <rFont val="Arial"/>
            <family val="2"/>
          </rPr>
          <t xml:space="preserve">Diferença de −0,34 herdada da base do draft (Ativos 26.138,03 x Passivos+PL 26.138,37) — a conciliar com o balancete.</t>
        </r>
      </text>
    </comment>
    <comment ref="L6" authorId="0">
      <text>
        <r>
          <rPr>
            <sz val="10"/>
            <rFont val="Arial"/>
            <family val="2"/>
          </rPr>
          <t xml:space="preserve">Draft: 17.231,437 − 16.311,155 − 17,517 − 198,838 + 380 − 138,693 (Circulante + LP, líquido das reclassificações).</t>
        </r>
      </text>
    </comment>
    <comment ref="L7" authorId="0">
      <text>
        <r>
          <rPr>
            <sz val="10"/>
            <rFont val="Arial"/>
            <family val="2"/>
          </rPr>
          <t xml:space="preserve">Draft: 17,517 + 198,836.</t>
        </r>
      </text>
    </comment>
    <comment ref="L13" authorId="0">
      <text>
        <r>
          <rPr>
            <sz val="10"/>
            <rFont val="Arial"/>
            <family val="2"/>
          </rPr>
          <t xml:space="preserve">Draft: 17.231,437 − 16.311 − 227,944 − 458,736 − 1.</t>
        </r>
      </text>
    </comment>
    <comment ref="L19" authorId="0">
      <text>
        <r>
          <rPr>
            <sz val="10"/>
            <rFont val="Arial"/>
            <family val="2"/>
          </rPr>
          <t xml:space="preserve">Draft: 139 + 380.</t>
        </r>
      </text>
    </comment>
    <comment ref="L20" authorId="0">
      <text>
        <r>
          <rPr>
            <sz val="10"/>
            <rFont val="Arial"/>
            <family val="2"/>
          </rPr>
          <t xml:space="preserve">Draft: 251,958 + 67,777.</t>
        </r>
      </text>
    </comment>
    <comment ref="L24" authorId="0">
      <text>
        <r>
          <rPr>
            <sz val="10"/>
            <rFont val="Arial"/>
            <family val="2"/>
          </rPr>
          <t xml:space="preserve">Diferença de +0,84 herdada da base do draft — a conciliar com o balancete.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9" authorId="0">
      <text>
        <r>
          <rPr>
            <sz val="10"/>
            <rFont val="Arial"/>
            <family val="2"/>
          </rPr>
          <t xml:space="preserve">Proporção AVJ = MV 300 ÷ VJ 866 = 34,64% (exemplo Deloitte, call 17.08.2026) aplicada ao PL contábil da CNP. Camada com maior risco de questionamento (AVJ Reflexo).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" authorId="0">
      <text>
        <r>
          <rPr>
            <sz val="10"/>
            <rFont val="Arial"/>
            <family val="2"/>
          </rPr>
          <t xml:space="preserve">Critério ajustado vs. draft: rateio do custo pela fração alienada do investimento (13,1/43,1 = 30,39%), e não 13,1% direto. Ver nota 3 do Contexto.</t>
        </r>
      </text>
    </comment>
  </commentList>
</comments>
</file>

<file path=xl/sharedStrings.xml><?xml version="1.0" encoding="utf-8"?>
<sst xmlns="http://schemas.openxmlformats.org/spreadsheetml/2006/main" count="318" uniqueCount="247">
  <si>
    <t xml:space="preserve">Projeto Another House — Exercício da Incorporação sob CPC 15</t>
  </si>
  <si>
    <t xml:space="preserve">Duas hipóteses de custo do investimento: custo original ("magrinho") x custo incrementado ("gordinho")</t>
  </si>
  <si>
    <t xml:space="preserve">Base 30.06.2026 (com dividendos) · valores em R$ milhões · draft de trabalho — não constitui opinião legal</t>
  </si>
  <si>
    <t xml:space="preserve">O QUE ESTA PLANILHA DEMONSTRA</t>
  </si>
  <si>
    <t xml:space="preserve">Demonstração, etapa por etapa, dos efeitos contábeis e fiscais da incorporação da CNP Consórcio pela Embracon sob a premissa de COMBINAÇÃO DE NEGÓCIOS (CPC 15), com atos societários lavrados a valor patrimonial contábil (laudo art. 224 LSA): (1) situação antes; (2) incorporação e reflexo nas holdings, com a segregação de risco do custo do investimento (MLA); (3) cash out; (4) destinação do caixa (PJ x PF); (5) alienação futura. Em cada etapa com efeito fiscal, comparam-se as duas hipóteses de custo.</t>
  </si>
  <si>
    <t xml:space="preserve">AS DUAS HIPÓTESES DE CUSTO</t>
  </si>
  <si>
    <t xml:space="preserve">Hipótese A — custo original ("magrinho")</t>
  </si>
  <si>
    <t xml:space="preserve">O custo fiscal do investimento das holdings permanece o custo histórico (R$ 119,744 cada). A parcela incorporada (reflexo da incorporação) NÃO compõe custo — leitura de diferimento (jurisprudência recente do CARF: CPFL, Litela, Litel).</t>
  </si>
  <si>
    <t xml:space="preserve">Hipótese B — custo incrementado ("gordinho")</t>
  </si>
  <si>
    <t xml:space="preserve">A parcela incorporada líquida da diluição (R$ 344,970 por holding) integra o custo do investimento — leitura de exclusão definitiva do art. 33, §2º, do DL 1.598/77 (linha WTorre: o ganho neutralizado "dá custo").</t>
  </si>
  <si>
    <t xml:space="preserve">COMO LER / LEGENDA</t>
  </si>
  <si>
    <t xml:space="preserve">Células em AZUL</t>
  </si>
  <si>
    <t xml:space="preserve">Entradas/premissas editáveis (hardcoded). Tudo o mais é fórmula encadeada.</t>
  </si>
  <si>
    <t xml:space="preserve">Células em PRETO</t>
  </si>
  <si>
    <t xml:space="preserve">Fórmulas — o racional de cada número está na própria célula.</t>
  </si>
  <si>
    <t xml:space="preserve">Linhas "Check"</t>
  </si>
  <si>
    <t xml:space="preserve">Conferências (devem ser ~zero). Diferenças herdadas da base do draft estão apontadas e não foram "forçadas".</t>
  </si>
  <si>
    <t xml:space="preserve">CRITÉRIOS E NOTAS RELEVANTES</t>
  </si>
  <si>
    <t xml:space="preserve">1.</t>
  </si>
  <si>
    <t xml:space="preserve">Valores adotados: aba "base 30 06 26com dividendos" do draft MLA (Exercicio_Incorporaçao_draft1). Balanços de 30.06.2026, em R$ milhões, já considerando dividendos de 120 declarados pela Embracon antes da incorporação.</t>
  </si>
  <si>
    <t xml:space="preserve">2.</t>
  </si>
  <si>
    <t xml:space="preserve">Relação de troca: 13,8% para as Partes CNP (premissa do Acordo — EVs de R$ 821,9 mi x R$ 5.132,9 mi), e não a proporção dos PLs contábeis (22,2% x 77,8%). A incorporação é registrada a valor contábil (laudo art. 224 LSA).</t>
  </si>
  <si>
    <t xml:space="preserve">3.</t>
  </si>
  <si>
    <t xml:space="preserve">AJUSTE DE CRITÉRIO vs. draft: o custo da participação alienada no cash out foi rateado pela FRAÇÃO alienada do investimento (13,1 p.p. ÷ 43,1 p.p. = 30,39%). O draft multiplicava o custo por 13,1% diretamente (custo alocado de 15,69 vs 36,40 na Hipótese A) — critério ajustado por ser o rateio proporcional o tecnicamente defensável.</t>
  </si>
  <si>
    <t xml:space="preserve">4.</t>
  </si>
  <si>
    <t xml:space="preserve">Cash out: preço de 600 por holding (1.200 total, sem correções do SPA). Tese da "operação única" (primária + secundária simultâneas): no cash out prevalece o custo antigo — a Hipótese A é a leitura conservadora nesta etapa.</t>
  </si>
  <si>
    <t xml:space="preserve">5.</t>
  </si>
  <si>
    <t xml:space="preserve">Segregação de risco do custo (MLA): o novo custo das holdings é aberto em 3 camadas — (i) investimento antigo (perda de diluição); (ii) reflexo do PL contábil da CNP; (iii) reflexo da parcela AVJ implícita (proporção do exemplo Deloitte: MV 300 ÷ VJ 866 = 34,64%) — "um tem mais risco que o outro".</t>
  </si>
  <si>
    <t xml:space="preserve">6.</t>
  </si>
  <si>
    <t xml:space="preserve">Aba 4 (PJ x PF) usa as premissas do draft (IRRF dividendos 10%; CDI 12%; PJ a 100% do CDI com IR 34%; PF a 105% do CDI com IR 27%) — premissas a validar. Fórmula de rendimento corrigida para saldo × CDI × %CDI.</t>
  </si>
  <si>
    <t xml:space="preserve">7.</t>
  </si>
  <si>
    <t xml:space="preserve">Checks de balanço: a base do draft tem diferenças de 0,34 (Embracon) e 0,84 (CNP) entre Ativos e Passivos+PL — mantidas e sinalizadas nas linhas "Check", a conciliar com o balancete.</t>
  </si>
  <si>
    <t xml:space="preserve">FONTES</t>
  </si>
  <si>
    <t xml:space="preserve">Draft MLA (Exercicio_Incorporaçao_draft1, aba "base 30 06 26com dividendos") · Acordo de Investimento de 20.10.2025 (13,8%; R$ 1,2 bi; 60/40) · Call Deloitte 17.08.2026 (exemplo VJ 866 / MV 300) · Calls e e-mails de ago/2026 (hipóteses "gordinho" x "magrinho", segregação de risco, operação única).</t>
  </si>
  <si>
    <t xml:space="preserve">Premissas</t>
  </si>
  <si>
    <t xml:space="preserve">PREMISSAS GERAIS</t>
  </si>
  <si>
    <t xml:space="preserve">Data-base dos balanços</t>
  </si>
  <si>
    <t xml:space="preserve">30.06.2026</t>
  </si>
  <si>
    <t xml:space="preserve">Draft MLA — aba "base 30 06 26com dividendos"</t>
  </si>
  <si>
    <t xml:space="preserve">Unidade</t>
  </si>
  <si>
    <t xml:space="preserve">R$ milhões</t>
  </si>
  <si>
    <t xml:space="preserve">Participação das Partes CNP na incorporação (relação de troca)</t>
  </si>
  <si>
    <t xml:space="preserve">Acordo: EV CNP 821,9 ÷ (821,9 + 5.132,9) = 13,8% — definitiva e irrevisável</t>
  </si>
  <si>
    <t xml:space="preserve">Participação-alvo final das Partes CNP</t>
  </si>
  <si>
    <t xml:space="preserve">Acordo: 60% famílias (30/30) x 40% CNP</t>
  </si>
  <si>
    <t xml:space="preserve">IRPJ/CSLL — ganho de capital PJ</t>
  </si>
  <si>
    <t xml:space="preserve">Dividendos declarados pela Embracon antes da incorporação</t>
  </si>
  <si>
    <t xml:space="preserve">Reduz o PL da Embracon a 239,488; permanece como passivo (a pagar às holdings)</t>
  </si>
  <si>
    <t xml:space="preserve">SEGREGAÇÃO DO CUSTO — PROPORÇÃO DO EXEMPLO DELOITTE (ILUSTRATIVO)</t>
  </si>
  <si>
    <t xml:space="preserve">Valor justo do PL da CNP (exemplo DTT)</t>
  </si>
  <si>
    <t xml:space="preserve">Call Deloitte 17.08.2026 — números ilustrativos, não contratuais</t>
  </si>
  <si>
    <t xml:space="preserve">Mais-valia / AVJ contida no exemplo (MV)</t>
  </si>
  <si>
    <t xml:space="preserve">Idem — parcela do VJ atribuída à reavaliação</t>
  </si>
  <si>
    <t xml:space="preserve">% AVJ implícito no PL da CNP</t>
  </si>
  <si>
    <t xml:space="preserve">MV ÷ VJ — aplicado ao PL contábil da CNP para segregar a camada de maior risco</t>
  </si>
  <si>
    <t xml:space="preserve">% contábil (sem AVJ)</t>
  </si>
  <si>
    <t xml:space="preserve">CASH OUT</t>
  </si>
  <si>
    <t xml:space="preserve">Preço por holding (venda à CNP Participações)</t>
  </si>
  <si>
    <t xml:space="preserve">Total 1.200 (R$ 1,2 bi do SPA, sem IPCA/ajustes de caixa) — 50/50 Savian/JVFJ</t>
  </si>
  <si>
    <t xml:space="preserve">DESTINAÇÃO DO CAIXA E APLICAÇÕES (PREMISSAS DO DRAFT — A VALIDAR)</t>
  </si>
  <si>
    <t xml:space="preserve">IRRF sobre dividendos ao sócio PF</t>
  </si>
  <si>
    <t xml:space="preserve">Premissa do draft (reforma tributária) — incide na distribuição da holding à PF</t>
  </si>
  <si>
    <t xml:space="preserve">CDI (a.a.)</t>
  </si>
  <si>
    <t xml:space="preserve">Premissa do draft</t>
  </si>
  <si>
    <t xml:space="preserve">% do CDI — aplicação na PJ (holding)</t>
  </si>
  <si>
    <t xml:space="preserve">Premissa do draft (100 do CDI)</t>
  </si>
  <si>
    <t xml:space="preserve">% do CDI — aplicação na PF</t>
  </si>
  <si>
    <t xml:space="preserve">Premissa do draft (105 do CDI)</t>
  </si>
  <si>
    <t xml:space="preserve">IR sobre rendimentos — PJ</t>
  </si>
  <si>
    <t xml:space="preserve">Premissa do draft (holding tributa o rendimento a 34%)</t>
  </si>
  <si>
    <t xml:space="preserve">IR sobre rendimentos — PF</t>
  </si>
  <si>
    <t xml:space="preserve">Premissa do draft — a validar (renda fixa PF: 15%-22,5%)</t>
  </si>
  <si>
    <t xml:space="preserve">Horizonte de comparação (anos)</t>
  </si>
  <si>
    <t xml:space="preserve">Todas as células azuis desta aba alimentam as demais por fórmula. Alterando uma premissa, a planilha inteira recalcula.</t>
  </si>
  <si>
    <t xml:space="preserve">1. Situação antes da incorporação — balanços 30.06.2026</t>
  </si>
  <si>
    <t xml:space="preserve">BALANÇOS DE PARTIDA (R$ MILHÕES) — BASE DRAFT MLA "COM DIVIDENDOS"</t>
  </si>
  <si>
    <t xml:space="preserve">SAVIAN</t>
  </si>
  <si>
    <t xml:space="preserve">JVFJ</t>
  </si>
  <si>
    <t xml:space="preserve">EMBRACON</t>
  </si>
  <si>
    <t xml:space="preserve">CNP CONSÓRCIO</t>
  </si>
  <si>
    <t xml:space="preserve">ATIVOS</t>
  </si>
  <si>
    <t xml:space="preserve">Circulante</t>
  </si>
  <si>
    <t xml:space="preserve">CPC 47 (despesas/comissões diferidas)</t>
  </si>
  <si>
    <t xml:space="preserve">Permanente</t>
  </si>
  <si>
    <t xml:space="preserve">Inv. Embracon</t>
  </si>
  <si>
    <t xml:space="preserve">Compensação (grupos de consórcio)</t>
  </si>
  <si>
    <t xml:space="preserve">PASSIVOS</t>
  </si>
  <si>
    <t xml:space="preserve">CPC 47 (receitas diferidas)</t>
  </si>
  <si>
    <t xml:space="preserve">Dividendos a pagar</t>
  </si>
  <si>
    <t xml:space="preserve">PATRIMÔNIO LÍQUIDO</t>
  </si>
  <si>
    <t xml:space="preserve">Capital</t>
  </si>
  <si>
    <t xml:space="preserve">Reservas</t>
  </si>
  <si>
    <t xml:space="preserve">(−) Dividendos declarados</t>
  </si>
  <si>
    <t xml:space="preserve">PASSIVOS + PL</t>
  </si>
  <si>
    <t xml:space="preserve">Check (Ativos − Passivos − PL)</t>
  </si>
  <si>
    <t xml:space="preserve">PROPORCIONALIDADE DOS PLs "NOMINAIS"</t>
  </si>
  <si>
    <t xml:space="preserve">Entidade</t>
  </si>
  <si>
    <t xml:space="preserve">PL 30.06.26</t>
  </si>
  <si>
    <t xml:space="preserve">% do PL combinado</t>
  </si>
  <si>
    <t xml:space="preserve">Embracon</t>
  </si>
  <si>
    <t xml:space="preserve">CNP Consórcio</t>
  </si>
  <si>
    <t xml:space="preserve">PL combinado</t>
  </si>
  <si>
    <t xml:space="preserve">A relação de troca contratual (13,8% / 86,2%) NÃO segue a proporção dos PLs contábeis acima (22,2% / 77,8%): decorre dos EVs acordados no Acordo (CNP 821,9 x Embracon 5.132,9). É exatamente esse descolamento que gera a "parcela incorporada" nas holdings e a discussão de custo.</t>
  </si>
  <si>
    <t xml:space="preserve">2. Incorporação da CNP pela Embracon (CPC 15 — atos a valor contábil)</t>
  </si>
  <si>
    <t xml:space="preserve">RELAÇÃO DE TROCA E PARTICIPAÇÕES</t>
  </si>
  <si>
    <t xml:space="preserve">EMBRACON COMBINADA — BALANÇO APÓS (VALOR CONTÁBIL)</t>
  </si>
  <si>
    <t xml:space="preserve">Acionista</t>
  </si>
  <si>
    <t xml:space="preserve">Antes</t>
  </si>
  <si>
    <t xml:space="preserve">Após incorporação</t>
  </si>
  <si>
    <t xml:space="preserve">Linha</t>
  </si>
  <si>
    <t xml:space="preserve">CNP</t>
  </si>
  <si>
    <t xml:space="preserve">Combinada</t>
  </si>
  <si>
    <t xml:space="preserve">Cia. Savian</t>
  </si>
  <si>
    <t xml:space="preserve">Ativo circulante</t>
  </si>
  <si>
    <t xml:space="preserve">Cia. JVFJ</t>
  </si>
  <si>
    <t xml:space="preserve">Ativo CPC 47</t>
  </si>
  <si>
    <t xml:space="preserve">Partes CNP (ações novas)</t>
  </si>
  <si>
    <t xml:space="preserve">Total</t>
  </si>
  <si>
    <t xml:space="preserve">Compensação (ativo)</t>
  </si>
  <si>
    <t xml:space="preserve">Passivo circulante</t>
  </si>
  <si>
    <t xml:space="preserve">REFLEXO NAS HOLDINGS (MEP) — CUSTO DO INVESTIMENTO</t>
  </si>
  <si>
    <t xml:space="preserve">Passivo CPC 47</t>
  </si>
  <si>
    <t xml:space="preserve">Item</t>
  </si>
  <si>
    <t xml:space="preserve">Por holding</t>
  </si>
  <si>
    <t xml:space="preserve">Total (2 holdings)</t>
  </si>
  <si>
    <t xml:space="preserve">Investimento anterior (custo original — "magrinho")</t>
  </si>
  <si>
    <t xml:space="preserve">Compensação (passivo)</t>
  </si>
  <si>
    <t xml:space="preserve">(+) Incorporação base (reflexo do PL contábil da CNP ÷ 2)</t>
  </si>
  <si>
    <t xml:space="preserve">Capital social</t>
  </si>
  <si>
    <t xml:space="preserve">(−) Diluição (13,8% sobre investimento + base)</t>
  </si>
  <si>
    <t xml:space="preserve">(=) Parcela incorporada (líquida)</t>
  </si>
  <si>
    <t xml:space="preserve">(−) Dividendos</t>
  </si>
  <si>
    <t xml:space="preserve">(=) Custo final do investimento ("gordinho")</t>
  </si>
  <si>
    <t xml:space="preserve">Check: 43,1% × PL combinado</t>
  </si>
  <si>
    <t xml:space="preserve">Check (A − P − PL)</t>
  </si>
  <si>
    <t xml:space="preserve">LANÇAMENTOS CONTÁBEIS NAS HOLDINGS (CADA UMA)</t>
  </si>
  <si>
    <t xml:space="preserve">LADO CNP HOLDING (INFORMATIVO)</t>
  </si>
  <si>
    <t xml:space="preserve">Lançamento</t>
  </si>
  <si>
    <t xml:space="preserve">Débito</t>
  </si>
  <si>
    <t xml:space="preserve">Crédito</t>
  </si>
  <si>
    <t xml:space="preserve">Contrapartida / natureza</t>
  </si>
  <si>
    <t xml:space="preserve">Baixa do acervo vertido (PL CNP)</t>
  </si>
  <si>
    <t xml:space="preserve">1. Reflexo da incorporação — Inv. Embracon</t>
  </si>
  <si>
    <t xml:space="preserve">Conta patrimonial (ORA x reserva — EM ABERTO; CPC não define; Deloitte não respondeu)</t>
  </si>
  <si>
    <t xml:space="preserve">Participação recebida (13,8% × PL combinado)</t>
  </si>
  <si>
    <t xml:space="preserve">2. Perda de diluição — Inv. Embracon</t>
  </si>
  <si>
    <t xml:space="preserve">Resultado de equivalência (variação de participação, art. 33, §2º, DL 1.598/77)</t>
  </si>
  <si>
    <t xml:space="preserve">Resultado contábil a valor contábil</t>
  </si>
  <si>
    <t xml:space="preserve">Efeito líquido no investimento</t>
  </si>
  <si>
    <t xml:space="preserve">(igual à parcela incorporada)</t>
  </si>
  <si>
    <t xml:space="preserve">Espelho da parcela incorporada das holdings (−689,94). É esta perda a valor contábil que leva a CNP a defender a joint operation (CPC 19) com remensuração a valor justo em resultado.</t>
  </si>
  <si>
    <t xml:space="preserve">SEGREGAÇÃO DE RISCO DO CUSTO (MLA) — 3 CAMADAS</t>
  </si>
  <si>
    <t xml:space="preserve">Camada</t>
  </si>
  <si>
    <t xml:space="preserve">Antes (86,2%→)</t>
  </si>
  <si>
    <t xml:space="preserve">Depois (×86,2%)</t>
  </si>
  <si>
    <t xml:space="preserve">Δ (2 holdings)</t>
  </si>
  <si>
    <t xml:space="preserve">1. Investimento antigo (PL Embracon) — perda de diluição</t>
  </si>
  <si>
    <t xml:space="preserve">2. Reflexo do PL contábil da CNP (menor risco)</t>
  </si>
  <si>
    <t xml:space="preserve">3. Reflexo da parcela AVJ implícita (maior risco)</t>
  </si>
  <si>
    <t xml:space="preserve">Novo Embracon (soma)</t>
  </si>
  <si>
    <t xml:space="preserve">Δ por holding (÷2) — deve igualar a parcela incorporada</t>
  </si>
  <si>
    <t xml:space="preserve">Sob CPC 15 "pleno" haveria PPA com laudo a valor justo do PL da CNP (mais-valia "grudando" nos ativos). Neste exercício, seguindo o draft e o contrato (laudo a valor patrimonial contábil, art. 224 LSA), a incorporação é registrada a valor contábil e a dimensão CPC 15 aparece na segregação de risco acima — premissa da Malu: todo o excedente é mais-valia/AVJ, sem goodwill.</t>
  </si>
  <si>
    <t xml:space="preserve">3. Cash out — venda de 26,2% à CNP (etapa 2, simultânea)</t>
  </si>
  <si>
    <t xml:space="preserve">PARÂMETROS DA ETAPA</t>
  </si>
  <si>
    <t xml:space="preserve">Pontos percentuais vendidos — total (40% − 13,8%)</t>
  </si>
  <si>
    <t xml:space="preserve">Pontos percentuais vendidos — por holding</t>
  </si>
  <si>
    <t xml:space="preserve">Participação de cada holding após a incorporação</t>
  </si>
  <si>
    <t xml:space="preserve">Fração alienada do investimento (13,1 ÷ 43,1)</t>
  </si>
  <si>
    <t xml:space="preserve">Preço por holding</t>
  </si>
  <si>
    <t xml:space="preserve">PARTICIPAÇÕES: APÓS INCORPORAÇÃO → VENDA → FINAL</t>
  </si>
  <si>
    <t xml:space="preserve">Após incorp.</t>
  </si>
  <si>
    <t xml:space="preserve">Venda</t>
  </si>
  <si>
    <t xml:space="preserve">Final</t>
  </si>
  <si>
    <t xml:space="preserve">Partes CNP</t>
  </si>
  <si>
    <t xml:space="preserve">GANHO DE CAPITAL — DUAS HIPÓTESES DE CUSTO</t>
  </si>
  <si>
    <t xml:space="preserve">Hip. A — custo original</t>
  </si>
  <si>
    <t xml:space="preserve">Hip. B — custo incrementado</t>
  </si>
  <si>
    <t xml:space="preserve">Hip. A</t>
  </si>
  <si>
    <t xml:space="preserve">Hip. B</t>
  </si>
  <si>
    <t xml:space="preserve">Preço da alienação</t>
  </si>
  <si>
    <t xml:space="preserve">Custo total do investimento</t>
  </si>
  <si>
    <t xml:space="preserve">Custo alocado à parcela alienada (× fração 30,39%)</t>
  </si>
  <si>
    <t xml:space="preserve">Ganho de capital</t>
  </si>
  <si>
    <t xml:space="preserve">IRPJ/CSLL (34%)</t>
  </si>
  <si>
    <t xml:space="preserve">Líquido do imposto (preço − IR)</t>
  </si>
  <si>
    <t xml:space="preserve">Alíquota efetiva sobre o preço</t>
  </si>
  <si>
    <t xml:space="preserve">Custo remanescente (para a alienação futura)</t>
  </si>
  <si>
    <t xml:space="preserve">Economia de IR da Hipótese B nesta etapa</t>
  </si>
  <si>
    <t xml:space="preserve">Tese da "operação única": incorporação e cash out simultâneos formam um só negócio — no cash out prevaleceria o CUSTO ANTIGO (Hipótese A), sem aproveitamento da parcela incorporada. A Hipótese B pressupõe que a parcela incorporada compõe custo já nesta etapa (art. 33, §2º, como exclusão definitiva — WTorre). Preço de 600 por holding sem correções do SPA (IPCA + ajustes de caixa líquido + earn-out de até 680 não modelados).</t>
  </si>
  <si>
    <t xml:space="preserve">4. Destinação do caixa do cash out — manter na PJ x distribuir à PF</t>
  </si>
  <si>
    <t xml:space="preserve">PONTO DE PARTIDA (POR HOLDING — HIPÓTESE A, CONSERVADORA)</t>
  </si>
  <si>
    <t xml:space="preserve">Líquido do cash out na holding (após IR de 34%)</t>
  </si>
  <si>
    <t xml:space="preserve">Aba 3, Hipótese A (custo original)</t>
  </si>
  <si>
    <t xml:space="preserve">IRRF na distribuição de dividendos à PF (10%)</t>
  </si>
  <si>
    <t xml:space="preserve">Premissa do draft (reforma tributária)</t>
  </si>
  <si>
    <t xml:space="preserve">Líquido disponível na PF</t>
  </si>
  <si>
    <t xml:space="preserve">APLICAÇÃO FINANCEIRA — 2 ANOS (PREMISSAS DO DRAFT)</t>
  </si>
  <si>
    <t xml:space="preserve">Manter na PJ</t>
  </si>
  <si>
    <t xml:space="preserve">Distribuir à PF</t>
  </si>
  <si>
    <t xml:space="preserve">Racional</t>
  </si>
  <si>
    <t xml:space="preserve">Saldo inicial</t>
  </si>
  <si>
    <t xml:space="preserve">PJ mantém 100%; PF recebe líquido do IRRF de 10%</t>
  </si>
  <si>
    <t xml:space="preserve">Ano 1 — rendimento bruto</t>
  </si>
  <si>
    <t xml:space="preserve">saldo × CDI × % do CDI (PJ 100% · PF 105%)</t>
  </si>
  <si>
    <t xml:space="preserve">Ano 1 — IR sobre o rendimento</t>
  </si>
  <si>
    <t xml:space="preserve">PJ 34% · PF 27% (draft — a validar)</t>
  </si>
  <si>
    <t xml:space="preserve">Saldo ao fim do ano 1</t>
  </si>
  <si>
    <t xml:space="preserve">Ano 2 — rendimento bruto</t>
  </si>
  <si>
    <t xml:space="preserve">Ano 2 — IR sobre o rendimento</t>
  </si>
  <si>
    <t xml:space="preserve">Saldo ao fim do ano 2</t>
  </si>
  <si>
    <t xml:space="preserve">Vantagem de manter na PJ (fim do ano 2)</t>
  </si>
  <si>
    <t xml:space="preserve">Leitura: distribuir à PF custa 10% de IRRF na largada; a PF aplica a 105% do CDI com IR menor (27% vs 34%), mas em 2 anos não recupera a perda inicial — a PJ termina à frente. Premissas do draft a validar (IR de PF em renda fixa é 15%–22,5% conforme prazo; a comparação é sensível a essas alíquotas e ao horizonte). Sob CPC 19/AVJ diferido, "subir pra física" fica ainda mais custoso (ganho carimbado nas holdings).</t>
  </si>
  <si>
    <t xml:space="preserve">5. Alienação futura ("passo F") — sensibilidade de preço</t>
  </si>
  <si>
    <t xml:space="preserve">BASE (POR HOLDING)</t>
  </si>
  <si>
    <t xml:space="preserve">Participação remanescente</t>
  </si>
  <si>
    <t xml:space="preserve">Custo remanescente — Hip. A (custo original)</t>
  </si>
  <si>
    <t xml:space="preserve">Custo remanescente — Hip. B (custo incrementado)</t>
  </si>
  <si>
    <t xml:space="preserve">Diferença de custo (B − A)</t>
  </si>
  <si>
    <t xml:space="preserve">SENSIBILIDADE — PREÇO DA VENDA FUTURA (POR HOLDING, R$ MILHÕES)</t>
  </si>
  <si>
    <t xml:space="preserve">Preço da venda futura (editável)</t>
  </si>
  <si>
    <t xml:space="preserve">Ganho de capital — Hip. A</t>
  </si>
  <si>
    <t xml:space="preserve">IRPJ/CSLL 34% — Hip. A</t>
  </si>
  <si>
    <t xml:space="preserve">Ganho de capital — Hip. B</t>
  </si>
  <si>
    <t xml:space="preserve">IRPJ/CSLL 34% — Hip. B</t>
  </si>
  <si>
    <t xml:space="preserve">Economia de IR da Hip. B (A − B)</t>
  </si>
  <si>
    <t xml:space="preserve">Idem, total 2 holdings</t>
  </si>
  <si>
    <t xml:space="preserve">A economia da Hipótese B tende ao teto de 34% × diferença de custo (81,64 por holding; 163,28 nas duas) e independe do preço enquanto o ganho for positivo nas duas hipóteses (preços baixos limitam o efeito — IR não fica negativo). Não há preço definido para o passo F: a linha de preço é editável. Sob CPC 19, o AVJ fica "carimbado" a 34% em subconta — economicamente equivalente à Hipótese A, com tributação garantida na realização.</t>
  </si>
  <si>
    <t xml:space="preserve">Conclusão — síntese das duas hipóteses de custo</t>
  </si>
  <si>
    <t xml:space="preserve">SÍNTESE (TOTAL DAS 2 HOLDINGS, R$ MILHÕES)</t>
  </si>
  <si>
    <t xml:space="preserve">Δ (economia B)</t>
  </si>
  <si>
    <t xml:space="preserve">Custo total do investimento após a incorporação</t>
  </si>
  <si>
    <t xml:space="preserve">IR no cash out (etapa 3)</t>
  </si>
  <si>
    <t xml:space="preserve">Custo remanescente para o passo F</t>
  </si>
  <si>
    <t xml:space="preserve">Economia futura máxima da Hip. B (34% × Δ custo remanescente)</t>
  </si>
  <si>
    <t xml:space="preserve">BENEFÍCIO TOTAL DA TESE DO CUSTO "GORDINHO"</t>
  </si>
  <si>
    <t xml:space="preserve">Check: 34% × parcela incorporada total (689,94)</t>
  </si>
  <si>
    <t xml:space="preserve">LEITURA E RISCOS</t>
  </si>
  <si>
    <t xml:space="preserve">Onde nasce a diferença</t>
  </si>
  <si>
    <t xml:space="preserve">A parcela incorporada (344,97 por holding; 689,94 no total) = reflexo do PL contábil da CNP (419,37) − diluição de 13,8% (74,40). Compõe custo na Hip. B; não compõe na Hip. A.</t>
  </si>
  <si>
    <t xml:space="preserve">Valor da tese</t>
  </si>
  <si>
    <t xml:space="preserve">34% × 689,94 = 234,58 no total — sendo 71,30 já no cash out (fração alienada de 30,39%) e até 163,28 na alienação futura (fração retida de 69,61%).</t>
  </si>
  <si>
    <t xml:space="preserve">Riscos por camada</t>
  </si>
  <si>
    <t xml:space="preserve">Perda de diluição (33,05): menor controvérsia. Reflexo do PL contábil da CNP (472,53): neutralidade defensável (MEP/variação de participação). Reflexo da parcela AVJ implícita (250,46): maior risco de requalificação (AVJ Reflexo — tributação na alienação).</t>
  </si>
  <si>
    <t xml:space="preserve">Jurisprudência</t>
  </si>
  <si>
    <t xml:space="preserve">WTorre (1402-004.537/2020) suporta a exclusão definitiva ("dá custo"); CPFL, Litela e Litel (2024) apontam diferimento — tributa quando o ganho migra de ORA/reserva para a DRE. A conta de PL da contrapartida (ORA x reserva) segue indefinida.</t>
  </si>
  <si>
    <t xml:space="preserve">Quem decide o enquadramento</t>
  </si>
  <si>
    <t xml:space="preserve">O auditor da Embracon (Deloitte) define CPC 15 x CPC 19. Sob CPC 19, o AVJ fica carimbado a 34% em subconta e a Hip. B deixa de existir; "cai a tese do MEP".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</si>
</sst>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#,##0.00;[RED]\(#,##0.00\)"/>
    <numFmt numFmtId="167" formatCode="0.00%"/>
    <numFmt numFmtId="168" formatCode="0"/>
    <numFmt numFmtId="169" formatCode="#,##0.0;[RED]\(#,##0.0\)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  <font>
      <i val="true"/>
      <sz val="9"/>
      <name val="Calibri"/>
      <family val="0"/>
      <charset val="1"/>
    </font>
    <font>
      <i val="true"/>
      <sz val="9"/>
      <color rgb="FF7F7F7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sz val="9"/>
      <name val="Calibri"/>
      <family val="0"/>
      <charset val="1"/>
    </font>
    <font>
      <sz val="9"/>
      <color rgb="FF0000FF"/>
      <name val="Calibri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EAF0FB"/>
        <bgColor rgb="FFF2F2F2"/>
      </patternFill>
    </fill>
    <fill>
      <patternFill patternType="solid">
        <fgColor rgb="FFFAF0DA"/>
        <bgColor rgb="FFF2F2F2"/>
      </patternFill>
    </fill>
    <fill>
      <patternFill patternType="solid">
        <fgColor rgb="FFE8F3DC"/>
        <bgColor rgb="FFF2F2F2"/>
      </patternFill>
    </fill>
    <fill>
      <patternFill patternType="solid">
        <fgColor rgb="FFF2F2F2"/>
        <bgColor rgb="FFEAF0FB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 diagonalUp="false" diagonalDown="false">
      <left style="medium">
        <color rgb="FFC9C9C9"/>
      </left>
      <right style="medium">
        <color rgb="FFC9C9C9"/>
      </right>
      <top style="medium">
        <color rgb="FFC9C9C9"/>
      </top>
      <bottom style="thin">
        <color rgb="FFC9C9C9"/>
      </bottom>
      <diagonal/>
    </border>
    <border diagonalUp="false" diagonalDown="false">
      <left style="medium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 diagonalUp="false" diagonalDown="false">
      <left style="thin">
        <color rgb="FFC9C9C9"/>
      </left>
      <right style="medium">
        <color rgb="FFC9C9C9"/>
      </right>
      <top style="thin">
        <color rgb="FFC9C9C9"/>
      </top>
      <bottom style="thin">
        <color rgb="FFC9C9C9"/>
      </bottom>
      <diagonal/>
    </border>
    <border diagonalUp="false" diagonalDown="false">
      <left style="medium">
        <color rgb="FFC9C9C9"/>
      </left>
      <right style="thin">
        <color rgb="FFC9C9C9"/>
      </right>
      <top style="thin">
        <color rgb="FFC9C9C9"/>
      </top>
      <bottom style="medium">
        <color rgb="FFC9C9C9"/>
      </bottom>
      <diagonal/>
    </border>
    <border diagonalUp="false" diagonalDown="false">
      <left style="thin">
        <color rgb="FFC9C9C9"/>
      </left>
      <right style="medium">
        <color rgb="FFC9C9C9"/>
      </right>
      <top style="thin">
        <color rgb="FFC9C9C9"/>
      </top>
      <bottom style="medium">
        <color rgb="FFC9C9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7F7F7F"/>
      <rgbColor rgb="FF9999FF"/>
      <rgbColor rgb="FF993366"/>
      <rgbColor rgb="FFFAF0DA"/>
      <rgbColor rgb="FFEAF0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8F3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</xdr:col>
      <xdr:colOff>1599840</xdr:colOff>
      <xdr:row>1</xdr:row>
      <xdr:rowOff>380520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22120" y="190440"/>
          <a:ext cx="159984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8" min="2" style="0" width="24"/>
  </cols>
  <sheetData>
    <row r="2" customFormat="false" ht="58.2" hidden="false" customHeight="false" outlineLevel="0" collapsed="false">
      <c r="D2" s="1" t="s">
        <v>0</v>
      </c>
    </row>
    <row r="3" customFormat="false" ht="43.25" hidden="false" customHeight="false" outlineLevel="0" collapsed="false">
      <c r="D3" s="2" t="s">
        <v>1</v>
      </c>
    </row>
    <row r="6" customFormat="false" ht="43.25" hidden="false" customHeight="false" outlineLevel="0" collapsed="false">
      <c r="B6" s="3" t="s">
        <v>2</v>
      </c>
    </row>
    <row r="8" customFormat="false" ht="15" hidden="false" customHeight="true" outlineLevel="0" collapsed="false">
      <c r="B8" s="4" t="s">
        <v>3</v>
      </c>
      <c r="C8" s="4"/>
      <c r="D8" s="4"/>
      <c r="E8" s="4"/>
      <c r="F8" s="4"/>
      <c r="G8" s="4"/>
      <c r="H8" s="4"/>
    </row>
    <row r="9" customFormat="false" ht="21.75" hidden="false" customHeight="true" outlineLevel="0" collapsed="false">
      <c r="B9" s="5" t="s">
        <v>4</v>
      </c>
      <c r="C9" s="5"/>
      <c r="D9" s="5"/>
      <c r="E9" s="5"/>
      <c r="F9" s="5"/>
      <c r="G9" s="5"/>
      <c r="H9" s="5"/>
    </row>
    <row r="10" customFormat="false" ht="21.75" hidden="false" customHeight="true" outlineLevel="0" collapsed="false">
      <c r="B10" s="5"/>
      <c r="C10" s="5"/>
      <c r="D10" s="5"/>
      <c r="E10" s="5"/>
      <c r="F10" s="5"/>
      <c r="G10" s="5"/>
      <c r="H10" s="5"/>
    </row>
    <row r="11" customFormat="false" ht="21.75" hidden="false" customHeight="true" outlineLevel="0" collapsed="false">
      <c r="B11" s="5"/>
      <c r="C11" s="5"/>
      <c r="D11" s="5"/>
      <c r="E11" s="5"/>
      <c r="F11" s="5"/>
      <c r="G11" s="5"/>
      <c r="H11" s="5"/>
    </row>
    <row r="13" customFormat="false" ht="15" hidden="false" customHeight="true" outlineLevel="0" collapsed="false">
      <c r="B13" s="4" t="s">
        <v>5</v>
      </c>
      <c r="C13" s="4"/>
      <c r="D13" s="4"/>
      <c r="E13" s="4"/>
      <c r="F13" s="4"/>
      <c r="G13" s="4"/>
      <c r="H13" s="4"/>
    </row>
    <row r="14" customFormat="false" ht="30" hidden="false" customHeight="true" outlineLevel="0" collapsed="false">
      <c r="B14" s="6" t="s">
        <v>6</v>
      </c>
      <c r="C14" s="7" t="s">
        <v>7</v>
      </c>
      <c r="D14" s="7"/>
      <c r="E14" s="7"/>
      <c r="F14" s="7"/>
      <c r="G14" s="7"/>
      <c r="H14" s="7"/>
    </row>
    <row r="15" customFormat="false" ht="30" hidden="false" customHeight="true" outlineLevel="0" collapsed="false">
      <c r="B15" s="8" t="s">
        <v>8</v>
      </c>
      <c r="C15" s="7" t="s">
        <v>9</v>
      </c>
      <c r="D15" s="7"/>
      <c r="E15" s="7"/>
      <c r="F15" s="7"/>
      <c r="G15" s="7"/>
      <c r="H15" s="7"/>
    </row>
    <row r="17" customFormat="false" ht="15" hidden="false" customHeight="true" outlineLevel="0" collapsed="false">
      <c r="B17" s="4" t="s">
        <v>10</v>
      </c>
      <c r="C17" s="4"/>
      <c r="D17" s="4"/>
      <c r="E17" s="4"/>
      <c r="F17" s="4"/>
      <c r="G17" s="4"/>
      <c r="H17" s="4"/>
    </row>
    <row r="18" customFormat="false" ht="15" hidden="false" customHeight="true" outlineLevel="0" collapsed="false">
      <c r="B18" s="9" t="s">
        <v>11</v>
      </c>
      <c r="C18" s="10" t="s">
        <v>12</v>
      </c>
      <c r="D18" s="10"/>
      <c r="E18" s="10"/>
      <c r="F18" s="10"/>
      <c r="G18" s="10"/>
      <c r="H18" s="10"/>
    </row>
    <row r="19" customFormat="false" ht="15" hidden="false" customHeight="true" outlineLevel="0" collapsed="false">
      <c r="B19" s="11" t="s">
        <v>13</v>
      </c>
      <c r="C19" s="10" t="s">
        <v>14</v>
      </c>
      <c r="D19" s="10"/>
      <c r="E19" s="10"/>
      <c r="F19" s="10"/>
      <c r="G19" s="10"/>
      <c r="H19" s="10"/>
    </row>
    <row r="20" customFormat="false" ht="15" hidden="false" customHeight="true" outlineLevel="0" collapsed="false">
      <c r="B20" s="12" t="s">
        <v>15</v>
      </c>
      <c r="C20" s="10" t="s">
        <v>16</v>
      </c>
      <c r="D20" s="10"/>
      <c r="E20" s="10"/>
      <c r="F20" s="10"/>
      <c r="G20" s="10"/>
      <c r="H20" s="10"/>
    </row>
    <row r="22" customFormat="false" ht="15" hidden="false" customHeight="true" outlineLevel="0" collapsed="false">
      <c r="B22" s="4" t="s">
        <v>17</v>
      </c>
      <c r="C22" s="4"/>
      <c r="D22" s="4"/>
      <c r="E22" s="4"/>
      <c r="F22" s="4"/>
      <c r="G22" s="4"/>
      <c r="H22" s="4"/>
    </row>
    <row r="23" customFormat="false" ht="33.75" hidden="false" customHeight="true" outlineLevel="0" collapsed="false">
      <c r="B23" s="13" t="s">
        <v>18</v>
      </c>
      <c r="C23" s="14" t="s">
        <v>19</v>
      </c>
      <c r="D23" s="14"/>
      <c r="E23" s="14"/>
      <c r="F23" s="14"/>
      <c r="G23" s="14"/>
      <c r="H23" s="14"/>
    </row>
    <row r="24" customFormat="false" ht="33.75" hidden="false" customHeight="true" outlineLevel="0" collapsed="false">
      <c r="B24" s="15" t="s">
        <v>20</v>
      </c>
      <c r="C24" s="16" t="s">
        <v>21</v>
      </c>
      <c r="D24" s="16"/>
      <c r="E24" s="16"/>
      <c r="F24" s="16"/>
      <c r="G24" s="16"/>
      <c r="H24" s="16"/>
    </row>
    <row r="25" customFormat="false" ht="33.75" hidden="false" customHeight="true" outlineLevel="0" collapsed="false">
      <c r="B25" s="13" t="s">
        <v>22</v>
      </c>
      <c r="C25" s="14" t="s">
        <v>23</v>
      </c>
      <c r="D25" s="14"/>
      <c r="E25" s="14"/>
      <c r="F25" s="14"/>
      <c r="G25" s="14"/>
      <c r="H25" s="14"/>
    </row>
    <row r="26" customFormat="false" ht="33.75" hidden="false" customHeight="true" outlineLevel="0" collapsed="false">
      <c r="B26" s="15" t="s">
        <v>24</v>
      </c>
      <c r="C26" s="16" t="s">
        <v>25</v>
      </c>
      <c r="D26" s="16"/>
      <c r="E26" s="16"/>
      <c r="F26" s="16"/>
      <c r="G26" s="16"/>
      <c r="H26" s="16"/>
    </row>
    <row r="27" customFormat="false" ht="33.75" hidden="false" customHeight="true" outlineLevel="0" collapsed="false">
      <c r="B27" s="13" t="s">
        <v>26</v>
      </c>
      <c r="C27" s="14" t="s">
        <v>27</v>
      </c>
      <c r="D27" s="14"/>
      <c r="E27" s="14"/>
      <c r="F27" s="14"/>
      <c r="G27" s="14"/>
      <c r="H27" s="14"/>
    </row>
    <row r="28" customFormat="false" ht="33.75" hidden="false" customHeight="true" outlineLevel="0" collapsed="false">
      <c r="B28" s="15" t="s">
        <v>28</v>
      </c>
      <c r="C28" s="16" t="s">
        <v>29</v>
      </c>
      <c r="D28" s="16"/>
      <c r="E28" s="16"/>
      <c r="F28" s="16"/>
      <c r="G28" s="16"/>
      <c r="H28" s="16"/>
    </row>
    <row r="29" customFormat="false" ht="33.75" hidden="false" customHeight="true" outlineLevel="0" collapsed="false">
      <c r="B29" s="13" t="s">
        <v>30</v>
      </c>
      <c r="C29" s="14" t="s">
        <v>31</v>
      </c>
      <c r="D29" s="14"/>
      <c r="E29" s="14"/>
      <c r="F29" s="14"/>
      <c r="G29" s="14"/>
      <c r="H29" s="14"/>
    </row>
    <row r="31" customFormat="false" ht="15" hidden="false" customHeight="true" outlineLevel="0" collapsed="false">
      <c r="B31" s="4" t="s">
        <v>32</v>
      </c>
      <c r="C31" s="4"/>
      <c r="D31" s="4"/>
      <c r="E31" s="4"/>
      <c r="F31" s="4"/>
      <c r="G31" s="4"/>
      <c r="H31" s="4"/>
    </row>
    <row r="32" customFormat="false" ht="19.5" hidden="false" customHeight="true" outlineLevel="0" collapsed="false">
      <c r="B32" s="17" t="s">
        <v>33</v>
      </c>
      <c r="C32" s="17"/>
      <c r="D32" s="17"/>
      <c r="E32" s="17"/>
      <c r="F32" s="17"/>
      <c r="G32" s="17"/>
      <c r="H32" s="17"/>
    </row>
    <row r="33" customFormat="false" ht="19.5" hidden="false" customHeight="true" outlineLevel="0" collapsed="false">
      <c r="B33" s="17"/>
      <c r="C33" s="17"/>
      <c r="D33" s="17"/>
      <c r="E33" s="17"/>
      <c r="F33" s="17"/>
      <c r="G33" s="17"/>
      <c r="H33" s="17"/>
    </row>
  </sheetData>
  <mergeCells count="19">
    <mergeCell ref="B8:H8"/>
    <mergeCell ref="B9:H11"/>
    <mergeCell ref="B13:H13"/>
    <mergeCell ref="C14:H14"/>
    <mergeCell ref="C15:H15"/>
    <mergeCell ref="B17:H17"/>
    <mergeCell ref="C18:H18"/>
    <mergeCell ref="C19:H19"/>
    <mergeCell ref="C20:H20"/>
    <mergeCell ref="B22:H22"/>
    <mergeCell ref="C23:H23"/>
    <mergeCell ref="C24:H24"/>
    <mergeCell ref="C25:H25"/>
    <mergeCell ref="C26:H26"/>
    <mergeCell ref="C27:H27"/>
    <mergeCell ref="C28:H28"/>
    <mergeCell ref="C29:H29"/>
    <mergeCell ref="B31:H31"/>
    <mergeCell ref="B32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64"/>
  </cols>
  <sheetData>
    <row r="1" customFormat="false" ht="15" hidden="false" customHeight="false" outlineLevel="0" collapsed="false">
      <c r="B1" s="1" t="s">
        <v>34</v>
      </c>
    </row>
    <row r="3" customFormat="false" ht="15" hidden="false" customHeight="true" outlineLevel="0" collapsed="false">
      <c r="B3" s="4" t="s">
        <v>35</v>
      </c>
      <c r="C3" s="4"/>
      <c r="D3" s="4"/>
    </row>
    <row r="4" customFormat="false" ht="15" hidden="false" customHeight="false" outlineLevel="0" collapsed="false">
      <c r="B4" s="18" t="s">
        <v>36</v>
      </c>
      <c r="C4" s="19" t="s">
        <v>37</v>
      </c>
      <c r="D4" s="20" t="s">
        <v>38</v>
      </c>
    </row>
    <row r="5" customFormat="false" ht="15" hidden="false" customHeight="false" outlineLevel="0" collapsed="false">
      <c r="B5" s="10" t="s">
        <v>39</v>
      </c>
      <c r="C5" s="21" t="s">
        <v>40</v>
      </c>
      <c r="D5" s="10"/>
    </row>
    <row r="6" customFormat="false" ht="15" hidden="false" customHeight="false" outlineLevel="0" collapsed="false">
      <c r="B6" s="18" t="s">
        <v>41</v>
      </c>
      <c r="C6" s="22" t="n">
        <v>0.138</v>
      </c>
      <c r="D6" s="20" t="s">
        <v>42</v>
      </c>
    </row>
    <row r="7" customFormat="false" ht="15" hidden="false" customHeight="false" outlineLevel="0" collapsed="false">
      <c r="B7" s="10" t="s">
        <v>43</v>
      </c>
      <c r="C7" s="23" t="n">
        <v>0.4</v>
      </c>
      <c r="D7" s="12" t="s">
        <v>44</v>
      </c>
    </row>
    <row r="8" customFormat="false" ht="15" hidden="false" customHeight="false" outlineLevel="0" collapsed="false">
      <c r="B8" s="18" t="s">
        <v>45</v>
      </c>
      <c r="C8" s="22" t="n">
        <v>0.34</v>
      </c>
      <c r="D8" s="18"/>
    </row>
    <row r="9" customFormat="false" ht="15" hidden="false" customHeight="false" outlineLevel="0" collapsed="false">
      <c r="B9" s="10" t="s">
        <v>46</v>
      </c>
      <c r="C9" s="24" t="n">
        <v>120</v>
      </c>
      <c r="D9" s="12" t="s">
        <v>47</v>
      </c>
    </row>
    <row r="11" customFormat="false" ht="15" hidden="false" customHeight="true" outlineLevel="0" collapsed="false">
      <c r="B11" s="4" t="s">
        <v>48</v>
      </c>
      <c r="C11" s="4"/>
      <c r="D11" s="4"/>
    </row>
    <row r="12" customFormat="false" ht="15" hidden="false" customHeight="false" outlineLevel="0" collapsed="false">
      <c r="B12" s="18" t="s">
        <v>49</v>
      </c>
      <c r="C12" s="25" t="n">
        <v>866</v>
      </c>
      <c r="D12" s="20" t="s">
        <v>50</v>
      </c>
    </row>
    <row r="13" customFormat="false" ht="15" hidden="false" customHeight="false" outlineLevel="0" collapsed="false">
      <c r="B13" s="10" t="s">
        <v>51</v>
      </c>
      <c r="C13" s="24" t="n">
        <v>300</v>
      </c>
      <c r="D13" s="12" t="s">
        <v>52</v>
      </c>
    </row>
    <row r="14" customFormat="false" ht="15" hidden="false" customHeight="false" outlineLevel="0" collapsed="false">
      <c r="B14" s="26" t="s">
        <v>53</v>
      </c>
      <c r="C14" s="27" t="n">
        <f aca="false">C13/C12</f>
        <v>0.346420323325635</v>
      </c>
      <c r="D14" s="20" t="s">
        <v>54</v>
      </c>
    </row>
    <row r="15" customFormat="false" ht="15" hidden="false" customHeight="false" outlineLevel="0" collapsed="false">
      <c r="B15" s="11" t="s">
        <v>55</v>
      </c>
      <c r="C15" s="28" t="n">
        <f aca="false">1-C14</f>
        <v>0.653579676674365</v>
      </c>
      <c r="D15" s="10"/>
    </row>
    <row r="17" customFormat="false" ht="15" hidden="false" customHeight="true" outlineLevel="0" collapsed="false">
      <c r="B17" s="4" t="s">
        <v>56</v>
      </c>
      <c r="C17" s="4"/>
      <c r="D17" s="4"/>
    </row>
    <row r="18" customFormat="false" ht="15" hidden="false" customHeight="false" outlineLevel="0" collapsed="false">
      <c r="B18" s="18" t="s">
        <v>57</v>
      </c>
      <c r="C18" s="25" t="n">
        <v>600</v>
      </c>
      <c r="D18" s="20" t="s">
        <v>58</v>
      </c>
    </row>
    <row r="20" customFormat="false" ht="15" hidden="false" customHeight="true" outlineLevel="0" collapsed="false">
      <c r="B20" s="4" t="s">
        <v>59</v>
      </c>
      <c r="C20" s="4"/>
      <c r="D20" s="4"/>
    </row>
    <row r="21" customFormat="false" ht="15" hidden="false" customHeight="false" outlineLevel="0" collapsed="false">
      <c r="B21" s="18" t="s">
        <v>60</v>
      </c>
      <c r="C21" s="22" t="n">
        <v>0.1</v>
      </c>
      <c r="D21" s="20" t="s">
        <v>61</v>
      </c>
    </row>
    <row r="22" customFormat="false" ht="15" hidden="false" customHeight="false" outlineLevel="0" collapsed="false">
      <c r="B22" s="10" t="s">
        <v>62</v>
      </c>
      <c r="C22" s="23" t="n">
        <v>0.12</v>
      </c>
      <c r="D22" s="12" t="s">
        <v>63</v>
      </c>
    </row>
    <row r="23" customFormat="false" ht="15" hidden="false" customHeight="false" outlineLevel="0" collapsed="false">
      <c r="B23" s="18" t="s">
        <v>64</v>
      </c>
      <c r="C23" s="22" t="n">
        <v>1</v>
      </c>
      <c r="D23" s="20" t="s">
        <v>65</v>
      </c>
    </row>
    <row r="24" customFormat="false" ht="15" hidden="false" customHeight="false" outlineLevel="0" collapsed="false">
      <c r="B24" s="10" t="s">
        <v>66</v>
      </c>
      <c r="C24" s="23" t="n">
        <v>1.05</v>
      </c>
      <c r="D24" s="12" t="s">
        <v>67</v>
      </c>
    </row>
    <row r="25" customFormat="false" ht="15" hidden="false" customHeight="false" outlineLevel="0" collapsed="false">
      <c r="B25" s="18" t="s">
        <v>68</v>
      </c>
      <c r="C25" s="22" t="n">
        <v>0.34</v>
      </c>
      <c r="D25" s="20" t="s">
        <v>69</v>
      </c>
    </row>
    <row r="26" customFormat="false" ht="15" hidden="false" customHeight="false" outlineLevel="0" collapsed="false">
      <c r="B26" s="10" t="s">
        <v>70</v>
      </c>
      <c r="C26" s="23" t="n">
        <v>0.27</v>
      </c>
      <c r="D26" s="12" t="s">
        <v>71</v>
      </c>
    </row>
    <row r="27" customFormat="false" ht="15" hidden="false" customHeight="false" outlineLevel="0" collapsed="false">
      <c r="B27" s="18" t="s">
        <v>72</v>
      </c>
      <c r="C27" s="29" t="n">
        <v>2</v>
      </c>
      <c r="D27" s="20" t="s">
        <v>63</v>
      </c>
    </row>
    <row r="29" customFormat="false" ht="15" hidden="false" customHeight="true" outlineLevel="0" collapsed="false">
      <c r="B29" s="17" t="s">
        <v>73</v>
      </c>
      <c r="C29" s="17"/>
      <c r="D29" s="17"/>
    </row>
    <row r="30" customFormat="false" ht="15" hidden="false" customHeight="false" outlineLevel="0" collapsed="false">
      <c r="B30" s="17"/>
      <c r="C30" s="17"/>
      <c r="D30" s="17"/>
    </row>
  </sheetData>
  <mergeCells count="5">
    <mergeCell ref="B3:D3"/>
    <mergeCell ref="B11:D11"/>
    <mergeCell ref="B17:D17"/>
    <mergeCell ref="B20:D20"/>
    <mergeCell ref="B29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6"/>
    <col collapsed="false" customWidth="true" hidden="false" outlineLevel="0" max="3" min="3" style="0" width="12.5"/>
    <col collapsed="false" customWidth="true" hidden="false" outlineLevel="0" max="4" min="4" style="0" width="2"/>
    <col collapsed="false" customWidth="true" hidden="false" outlineLevel="0" max="5" min="5" style="0" width="26"/>
    <col collapsed="false" customWidth="true" hidden="false" outlineLevel="0" max="6" min="6" style="0" width="12.5"/>
    <col collapsed="false" customWidth="true" hidden="false" outlineLevel="0" max="7" min="7" style="0" width="2"/>
    <col collapsed="false" customWidth="true" hidden="false" outlineLevel="0" max="8" min="8" style="0" width="26"/>
    <col collapsed="false" customWidth="true" hidden="false" outlineLevel="0" max="9" min="9" style="0" width="12.5"/>
    <col collapsed="false" customWidth="true" hidden="false" outlineLevel="0" max="10" min="10" style="0" width="2"/>
    <col collapsed="false" customWidth="true" hidden="false" outlineLevel="0" max="11" min="11" style="0" width="26"/>
    <col collapsed="false" customWidth="true" hidden="false" outlineLevel="0" max="12" min="12" style="0" width="12.5"/>
  </cols>
  <sheetData>
    <row r="1" customFormat="false" ht="44" hidden="false" customHeight="false" outlineLevel="0" collapsed="false">
      <c r="B1" s="1" t="s">
        <v>74</v>
      </c>
    </row>
    <row r="2" customFormat="false" ht="15" hidden="false" customHeight="true" outlineLevel="0" collapsed="false">
      <c r="B2" s="4" t="s">
        <v>75</v>
      </c>
      <c r="C2" s="4"/>
      <c r="D2" s="4"/>
      <c r="E2" s="4"/>
      <c r="F2" s="4"/>
      <c r="G2" s="4"/>
      <c r="H2" s="4"/>
      <c r="I2" s="4"/>
      <c r="J2" s="4"/>
      <c r="K2" s="4"/>
      <c r="L2" s="4"/>
    </row>
    <row r="4" customFormat="false" ht="15" hidden="false" customHeight="true" outlineLevel="0" collapsed="false">
      <c r="B4" s="30" t="s">
        <v>76</v>
      </c>
      <c r="C4" s="30"/>
      <c r="E4" s="30" t="s">
        <v>77</v>
      </c>
      <c r="F4" s="30"/>
      <c r="H4" s="30" t="s">
        <v>78</v>
      </c>
      <c r="I4" s="30"/>
      <c r="K4" s="30" t="s">
        <v>79</v>
      </c>
      <c r="L4" s="30"/>
    </row>
    <row r="5" customFormat="false" ht="15" hidden="false" customHeight="false" outlineLevel="0" collapsed="false">
      <c r="B5" s="31" t="s">
        <v>80</v>
      </c>
      <c r="C5" s="32" t="n">
        <f aca="false">SUM(C6:C10)</f>
        <v>119.744</v>
      </c>
      <c r="E5" s="31" t="s">
        <v>80</v>
      </c>
      <c r="F5" s="32" t="n">
        <f aca="false">SUM(F6:F10)</f>
        <v>119.744</v>
      </c>
      <c r="H5" s="31" t="s">
        <v>80</v>
      </c>
      <c r="I5" s="32" t="n">
        <f aca="false">SUM(I6:I10)</f>
        <v>26138.03</v>
      </c>
      <c r="K5" s="31" t="s">
        <v>80</v>
      </c>
      <c r="L5" s="32" t="n">
        <f aca="false">SUM(L6:L10)</f>
        <v>17611.435</v>
      </c>
    </row>
    <row r="6" customFormat="false" ht="15" hidden="false" customHeight="false" outlineLevel="0" collapsed="false">
      <c r="B6" s="33" t="s">
        <v>81</v>
      </c>
      <c r="C6" s="34"/>
      <c r="E6" s="33" t="s">
        <v>81</v>
      </c>
      <c r="F6" s="34"/>
      <c r="H6" s="33" t="s">
        <v>81</v>
      </c>
      <c r="I6" s="35" t="n">
        <v>328.578</v>
      </c>
      <c r="K6" s="33" t="s">
        <v>81</v>
      </c>
      <c r="L6" s="35" t="n">
        <v>945.234</v>
      </c>
    </row>
    <row r="7" customFormat="false" ht="22.35" hidden="false" customHeight="false" outlineLevel="0" collapsed="false">
      <c r="B7" s="33" t="s">
        <v>82</v>
      </c>
      <c r="C7" s="34"/>
      <c r="E7" s="33" t="s">
        <v>82</v>
      </c>
      <c r="F7" s="34"/>
      <c r="H7" s="33" t="s">
        <v>82</v>
      </c>
      <c r="I7" s="35" t="n">
        <v>1937.402</v>
      </c>
      <c r="K7" s="33" t="s">
        <v>82</v>
      </c>
      <c r="L7" s="35" t="n">
        <v>216.353</v>
      </c>
    </row>
    <row r="8" customFormat="false" ht="15" hidden="false" customHeight="false" outlineLevel="0" collapsed="false">
      <c r="B8" s="33" t="s">
        <v>83</v>
      </c>
      <c r="C8" s="34"/>
      <c r="E8" s="33" t="s">
        <v>83</v>
      </c>
      <c r="F8" s="34"/>
      <c r="H8" s="33" t="s">
        <v>83</v>
      </c>
      <c r="I8" s="35" t="n">
        <v>57.986</v>
      </c>
      <c r="K8" s="33" t="s">
        <v>83</v>
      </c>
      <c r="L8" s="35" t="n">
        <v>138.693</v>
      </c>
    </row>
    <row r="9" customFormat="false" ht="15" hidden="false" customHeight="false" outlineLevel="0" collapsed="false">
      <c r="B9" s="33" t="s">
        <v>84</v>
      </c>
      <c r="C9" s="36" t="n">
        <f aca="false">I18/2</f>
        <v>119.744</v>
      </c>
      <c r="E9" s="33" t="s">
        <v>84</v>
      </c>
      <c r="F9" s="36" t="n">
        <f aca="false">I18/2</f>
        <v>119.744</v>
      </c>
      <c r="H9" s="33" t="s">
        <v>84</v>
      </c>
      <c r="I9" s="34"/>
      <c r="K9" s="33" t="s">
        <v>84</v>
      </c>
      <c r="L9" s="34"/>
    </row>
    <row r="10" customFormat="false" ht="15" hidden="false" customHeight="false" outlineLevel="0" collapsed="false">
      <c r="B10" s="33" t="s">
        <v>85</v>
      </c>
      <c r="C10" s="34"/>
      <c r="E10" s="33" t="s">
        <v>85</v>
      </c>
      <c r="F10" s="34"/>
      <c r="H10" s="33" t="s">
        <v>85</v>
      </c>
      <c r="I10" s="35" t="n">
        <v>23814.064</v>
      </c>
      <c r="K10" s="33" t="s">
        <v>85</v>
      </c>
      <c r="L10" s="35" t="n">
        <v>16311.155</v>
      </c>
    </row>
    <row r="11" customFormat="false" ht="15" hidden="false" customHeight="false" outlineLevel="0" collapsed="false">
      <c r="B11" s="37"/>
      <c r="C11" s="34"/>
      <c r="E11" s="37"/>
      <c r="F11" s="34"/>
      <c r="H11" s="37"/>
      <c r="I11" s="34"/>
      <c r="K11" s="37"/>
      <c r="L11" s="34"/>
    </row>
    <row r="12" customFormat="false" ht="15" hidden="false" customHeight="false" outlineLevel="0" collapsed="false">
      <c r="B12" s="31" t="s">
        <v>86</v>
      </c>
      <c r="C12" s="32" t="n">
        <f aca="false">SUM(C13:C16)</f>
        <v>0</v>
      </c>
      <c r="E12" s="31" t="s">
        <v>86</v>
      </c>
      <c r="F12" s="32" t="n">
        <f aca="false">SUM(F13:F16)</f>
        <v>0</v>
      </c>
      <c r="H12" s="31" t="s">
        <v>86</v>
      </c>
      <c r="I12" s="32" t="n">
        <f aca="false">SUM(I13:I16)</f>
        <v>25898.882</v>
      </c>
      <c r="K12" s="31" t="s">
        <v>86</v>
      </c>
      <c r="L12" s="32" t="n">
        <f aca="false">SUM(L13:L16)</f>
        <v>16771.856</v>
      </c>
    </row>
    <row r="13" customFormat="false" ht="15" hidden="false" customHeight="false" outlineLevel="0" collapsed="false">
      <c r="B13" s="33" t="s">
        <v>81</v>
      </c>
      <c r="C13" s="34"/>
      <c r="E13" s="33" t="s">
        <v>81</v>
      </c>
      <c r="F13" s="34"/>
      <c r="H13" s="33" t="s">
        <v>81</v>
      </c>
      <c r="I13" s="35" t="n">
        <v>420.06</v>
      </c>
      <c r="K13" s="33" t="s">
        <v>81</v>
      </c>
      <c r="L13" s="35" t="n">
        <v>232.757</v>
      </c>
    </row>
    <row r="14" customFormat="false" ht="15" hidden="false" customHeight="false" outlineLevel="0" collapsed="false">
      <c r="B14" s="33" t="s">
        <v>87</v>
      </c>
      <c r="C14" s="34"/>
      <c r="E14" s="33" t="s">
        <v>87</v>
      </c>
      <c r="F14" s="34"/>
      <c r="H14" s="33" t="s">
        <v>87</v>
      </c>
      <c r="I14" s="35" t="n">
        <v>1544.758</v>
      </c>
      <c r="K14" s="33" t="s">
        <v>87</v>
      </c>
      <c r="L14" s="35" t="n">
        <v>227.944</v>
      </c>
    </row>
    <row r="15" customFormat="false" ht="15" hidden="false" customHeight="false" outlineLevel="0" collapsed="false">
      <c r="B15" s="33" t="s">
        <v>88</v>
      </c>
      <c r="C15" s="34"/>
      <c r="E15" s="33" t="s">
        <v>88</v>
      </c>
      <c r="F15" s="34"/>
      <c r="H15" s="33" t="s">
        <v>88</v>
      </c>
      <c r="I15" s="36" t="n">
        <f aca="false">Premissas!C9</f>
        <v>120</v>
      </c>
      <c r="K15" s="33" t="s">
        <v>88</v>
      </c>
      <c r="L15" s="34"/>
    </row>
    <row r="16" customFormat="false" ht="15" hidden="false" customHeight="false" outlineLevel="0" collapsed="false">
      <c r="B16" s="33" t="s">
        <v>85</v>
      </c>
      <c r="C16" s="34"/>
      <c r="E16" s="33" t="s">
        <v>85</v>
      </c>
      <c r="F16" s="34"/>
      <c r="H16" s="33" t="s">
        <v>85</v>
      </c>
      <c r="I16" s="36" t="n">
        <f aca="false">I10</f>
        <v>23814.064</v>
      </c>
      <c r="K16" s="33" t="s">
        <v>85</v>
      </c>
      <c r="L16" s="36" t="n">
        <f aca="false">L10</f>
        <v>16311.155</v>
      </c>
    </row>
    <row r="17" customFormat="false" ht="15" hidden="false" customHeight="false" outlineLevel="0" collapsed="false">
      <c r="B17" s="37"/>
      <c r="C17" s="34"/>
      <c r="E17" s="37"/>
      <c r="F17" s="34"/>
      <c r="H17" s="37"/>
      <c r="I17" s="34"/>
      <c r="K17" s="37"/>
      <c r="L17" s="34"/>
    </row>
    <row r="18" customFormat="false" ht="15" hidden="false" customHeight="false" outlineLevel="0" collapsed="false">
      <c r="B18" s="31" t="s">
        <v>89</v>
      </c>
      <c r="C18" s="32" t="n">
        <f aca="false">SUM(C19:C21)</f>
        <v>119.744</v>
      </c>
      <c r="E18" s="31" t="s">
        <v>89</v>
      </c>
      <c r="F18" s="32" t="n">
        <f aca="false">SUM(F19:F21)</f>
        <v>119.744</v>
      </c>
      <c r="H18" s="31" t="s">
        <v>89</v>
      </c>
      <c r="I18" s="32" t="n">
        <f aca="false">SUM(I19:I21)</f>
        <v>239.488</v>
      </c>
      <c r="K18" s="31" t="s">
        <v>89</v>
      </c>
      <c r="L18" s="32" t="n">
        <f aca="false">SUM(L19:L21)</f>
        <v>838.735</v>
      </c>
    </row>
    <row r="19" customFormat="false" ht="15" hidden="false" customHeight="false" outlineLevel="0" collapsed="false">
      <c r="B19" s="33" t="s">
        <v>90</v>
      </c>
      <c r="C19" s="36" t="n">
        <f aca="false">C9</f>
        <v>119.744</v>
      </c>
      <c r="E19" s="33" t="s">
        <v>90</v>
      </c>
      <c r="F19" s="36" t="n">
        <f aca="false">F9</f>
        <v>119.744</v>
      </c>
      <c r="H19" s="33" t="s">
        <v>90</v>
      </c>
      <c r="I19" s="35" t="n">
        <v>85</v>
      </c>
      <c r="K19" s="33" t="s">
        <v>90</v>
      </c>
      <c r="L19" s="35" t="n">
        <v>519</v>
      </c>
    </row>
    <row r="20" customFormat="false" ht="15" hidden="false" customHeight="false" outlineLevel="0" collapsed="false">
      <c r="B20" s="33" t="s">
        <v>91</v>
      </c>
      <c r="C20" s="34"/>
      <c r="E20" s="33" t="s">
        <v>91</v>
      </c>
      <c r="F20" s="34"/>
      <c r="H20" s="33" t="s">
        <v>91</v>
      </c>
      <c r="I20" s="35" t="n">
        <v>274.488</v>
      </c>
      <c r="K20" s="33" t="s">
        <v>91</v>
      </c>
      <c r="L20" s="35" t="n">
        <v>319.735</v>
      </c>
    </row>
    <row r="21" customFormat="false" ht="15" hidden="false" customHeight="false" outlineLevel="0" collapsed="false">
      <c r="B21" s="33" t="s">
        <v>92</v>
      </c>
      <c r="C21" s="34"/>
      <c r="E21" s="33" t="s">
        <v>92</v>
      </c>
      <c r="F21" s="34"/>
      <c r="H21" s="33" t="s">
        <v>92</v>
      </c>
      <c r="I21" s="36" t="n">
        <f aca="false">-Premissas!C9</f>
        <v>-120</v>
      </c>
      <c r="K21" s="33" t="s">
        <v>92</v>
      </c>
      <c r="L21" s="34"/>
    </row>
    <row r="22" customFormat="false" ht="15" hidden="false" customHeight="false" outlineLevel="0" collapsed="false">
      <c r="B22" s="37"/>
      <c r="C22" s="34"/>
      <c r="E22" s="37"/>
      <c r="F22" s="34"/>
      <c r="H22" s="37"/>
      <c r="I22" s="34"/>
      <c r="K22" s="37"/>
      <c r="L22" s="34"/>
    </row>
    <row r="23" customFormat="false" ht="15" hidden="false" customHeight="false" outlineLevel="0" collapsed="false">
      <c r="B23" s="31" t="s">
        <v>93</v>
      </c>
      <c r="C23" s="32" t="n">
        <f aca="false">C12+C18</f>
        <v>119.744</v>
      </c>
      <c r="E23" s="31" t="s">
        <v>93</v>
      </c>
      <c r="F23" s="32" t="n">
        <f aca="false">F12+F18</f>
        <v>119.744</v>
      </c>
      <c r="H23" s="31" t="s">
        <v>93</v>
      </c>
      <c r="I23" s="32" t="n">
        <f aca="false">I12+I18</f>
        <v>26138.37</v>
      </c>
      <c r="K23" s="31" t="s">
        <v>93</v>
      </c>
      <c r="L23" s="32" t="n">
        <f aca="false">L12+L18</f>
        <v>17610.591</v>
      </c>
    </row>
    <row r="24" customFormat="false" ht="15" hidden="false" customHeight="false" outlineLevel="0" collapsed="false">
      <c r="B24" s="38" t="s">
        <v>94</v>
      </c>
      <c r="C24" s="39" t="n">
        <f aca="false">C5-C23</f>
        <v>0</v>
      </c>
      <c r="E24" s="38" t="s">
        <v>94</v>
      </c>
      <c r="F24" s="39" t="n">
        <f aca="false">F5-F23</f>
        <v>0</v>
      </c>
      <c r="H24" s="38" t="s">
        <v>94</v>
      </c>
      <c r="I24" s="39" t="n">
        <f aca="false">I5-I23</f>
        <v>-0.340000000000146</v>
      </c>
      <c r="K24" s="38" t="s">
        <v>94</v>
      </c>
      <c r="L24" s="39" t="n">
        <f aca="false">L5-L23</f>
        <v>0.84400000000096</v>
      </c>
    </row>
    <row r="27" customFormat="false" ht="15" hidden="false" customHeight="true" outlineLevel="0" collapsed="false">
      <c r="B27" s="4" t="s">
        <v>95</v>
      </c>
      <c r="C27" s="4"/>
      <c r="D27" s="4"/>
      <c r="E27" s="4"/>
      <c r="F27" s="4"/>
    </row>
    <row r="28" customFormat="false" ht="15" hidden="false" customHeight="true" outlineLevel="0" collapsed="false">
      <c r="B28" s="26" t="s">
        <v>96</v>
      </c>
      <c r="C28" s="40" t="s">
        <v>97</v>
      </c>
      <c r="D28" s="13" t="s">
        <v>98</v>
      </c>
      <c r="E28" s="13"/>
      <c r="F28" s="18"/>
    </row>
    <row r="29" customFormat="false" ht="15" hidden="false" customHeight="false" outlineLevel="0" collapsed="false">
      <c r="B29" s="10" t="s">
        <v>99</v>
      </c>
      <c r="C29" s="41" t="n">
        <f aca="false">I18</f>
        <v>239.488</v>
      </c>
      <c r="D29" s="42" t="n">
        <f aca="false">C29/C31</f>
        <v>0.22211360729645</v>
      </c>
      <c r="E29" s="42"/>
      <c r="F29" s="10"/>
    </row>
    <row r="30" customFormat="false" ht="15" hidden="false" customHeight="false" outlineLevel="0" collapsed="false">
      <c r="B30" s="10" t="s">
        <v>100</v>
      </c>
      <c r="C30" s="41" t="n">
        <f aca="false">L18</f>
        <v>838.735</v>
      </c>
      <c r="D30" s="42" t="n">
        <f aca="false">C30/C31</f>
        <v>0.77788639270355</v>
      </c>
      <c r="E30" s="42"/>
      <c r="F30" s="10"/>
    </row>
    <row r="31" customFormat="false" ht="15" hidden="false" customHeight="false" outlineLevel="0" collapsed="false">
      <c r="B31" s="26" t="s">
        <v>101</v>
      </c>
      <c r="C31" s="43" t="n">
        <f aca="false">C29+C30</f>
        <v>1078.223</v>
      </c>
      <c r="D31" s="44" t="n">
        <f aca="false">C31/C31</f>
        <v>1</v>
      </c>
      <c r="E31" s="44"/>
      <c r="F31" s="18"/>
    </row>
    <row r="33" customFormat="false" ht="15" hidden="false" customHeight="true" outlineLevel="0" collapsed="false">
      <c r="B33" s="17" t="s">
        <v>102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customFormat="false" ht="15" hidden="false" customHeight="false" outlineLevel="0" collapsed="false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</row>
  </sheetData>
  <mergeCells count="11">
    <mergeCell ref="B2:L2"/>
    <mergeCell ref="B4:C4"/>
    <mergeCell ref="E4:F4"/>
    <mergeCell ref="H4:I4"/>
    <mergeCell ref="K4:L4"/>
    <mergeCell ref="B27:F27"/>
    <mergeCell ref="D28:E28"/>
    <mergeCell ref="D29:E29"/>
    <mergeCell ref="D30:E30"/>
    <mergeCell ref="D31:E31"/>
    <mergeCell ref="B33:L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0"/>
    <col collapsed="false" customWidth="true" hidden="false" outlineLevel="0" max="6" min="3" style="0" width="14"/>
    <col collapsed="false" customWidth="true" hidden="false" outlineLevel="0" max="7" min="7" style="0" width="2"/>
    <col collapsed="false" customWidth="true" hidden="false" outlineLevel="0" max="8" min="8" style="0" width="24"/>
    <col collapsed="false" customWidth="true" hidden="false" outlineLevel="0" max="12" min="9" style="0" width="13"/>
  </cols>
  <sheetData>
    <row r="1" customFormat="false" ht="29.85" hidden="false" customHeight="false" outlineLevel="0" collapsed="false">
      <c r="B1" s="1" t="s">
        <v>103</v>
      </c>
    </row>
    <row r="3" customFormat="false" ht="15" hidden="false" customHeight="true" outlineLevel="0" collapsed="false">
      <c r="B3" s="4" t="s">
        <v>104</v>
      </c>
      <c r="C3" s="4"/>
      <c r="D3" s="4"/>
      <c r="E3" s="4"/>
      <c r="F3" s="4"/>
      <c r="H3" s="4" t="s">
        <v>105</v>
      </c>
      <c r="I3" s="4"/>
      <c r="J3" s="4"/>
      <c r="K3" s="4"/>
      <c r="L3" s="4"/>
    </row>
    <row r="4" customFormat="false" ht="15" hidden="false" customHeight="false" outlineLevel="0" collapsed="false">
      <c r="B4" s="26" t="s">
        <v>106</v>
      </c>
      <c r="C4" s="40" t="s">
        <v>107</v>
      </c>
      <c r="D4" s="40" t="s">
        <v>108</v>
      </c>
      <c r="E4" s="18"/>
      <c r="F4" s="18"/>
      <c r="H4" s="26" t="s">
        <v>109</v>
      </c>
      <c r="I4" s="40" t="s">
        <v>99</v>
      </c>
      <c r="J4" s="40" t="s">
        <v>110</v>
      </c>
      <c r="K4" s="40" t="s">
        <v>111</v>
      </c>
      <c r="L4" s="18"/>
    </row>
    <row r="5" customFormat="false" ht="15" hidden="false" customHeight="false" outlineLevel="0" collapsed="false">
      <c r="B5" s="10" t="s">
        <v>112</v>
      </c>
      <c r="C5" s="23" t="n">
        <v>0.5</v>
      </c>
      <c r="D5" s="45" t="n">
        <f aca="false">C5*(1-Premissas!C6)</f>
        <v>0.431</v>
      </c>
      <c r="E5" s="10"/>
      <c r="F5" s="10"/>
      <c r="H5" s="10" t="s">
        <v>113</v>
      </c>
      <c r="I5" s="41" t="n">
        <f aca="false">'1. Situação Antes'!I6</f>
        <v>328.578</v>
      </c>
      <c r="J5" s="41" t="n">
        <f aca="false">'1. Situação Antes'!L6</f>
        <v>945.234</v>
      </c>
      <c r="K5" s="41" t="n">
        <f aca="false">I5+J5</f>
        <v>1273.812</v>
      </c>
      <c r="L5" s="10"/>
    </row>
    <row r="6" customFormat="false" ht="15" hidden="false" customHeight="false" outlineLevel="0" collapsed="false">
      <c r="B6" s="10" t="s">
        <v>114</v>
      </c>
      <c r="C6" s="23" t="n">
        <v>0.5</v>
      </c>
      <c r="D6" s="45" t="n">
        <f aca="false">C6*(1-Premissas!C6)</f>
        <v>0.431</v>
      </c>
      <c r="E6" s="10"/>
      <c r="F6" s="10"/>
      <c r="H6" s="10" t="s">
        <v>115</v>
      </c>
      <c r="I6" s="41" t="n">
        <f aca="false">'1. Situação Antes'!I7</f>
        <v>1937.402</v>
      </c>
      <c r="J6" s="41" t="n">
        <f aca="false">'1. Situação Antes'!L7</f>
        <v>216.353</v>
      </c>
      <c r="K6" s="41" t="n">
        <f aca="false">I6+J6</f>
        <v>2153.755</v>
      </c>
      <c r="L6" s="10"/>
    </row>
    <row r="7" customFormat="false" ht="15" hidden="false" customHeight="false" outlineLevel="0" collapsed="false">
      <c r="B7" s="10" t="s">
        <v>116</v>
      </c>
      <c r="C7" s="23" t="n">
        <v>0</v>
      </c>
      <c r="D7" s="45" t="n">
        <f aca="false">Premissas!C6</f>
        <v>0.138</v>
      </c>
      <c r="E7" s="10"/>
      <c r="F7" s="10"/>
      <c r="H7" s="10" t="s">
        <v>83</v>
      </c>
      <c r="I7" s="41" t="n">
        <f aca="false">'1. Situação Antes'!I8</f>
        <v>57.986</v>
      </c>
      <c r="J7" s="41" t="n">
        <f aca="false">'1. Situação Antes'!L8</f>
        <v>138.693</v>
      </c>
      <c r="K7" s="41" t="n">
        <f aca="false">I7+J7</f>
        <v>196.679</v>
      </c>
      <c r="L7" s="10"/>
    </row>
    <row r="8" customFormat="false" ht="15" hidden="false" customHeight="false" outlineLevel="0" collapsed="false">
      <c r="B8" s="26" t="s">
        <v>117</v>
      </c>
      <c r="C8" s="46" t="n">
        <f aca="false">SUM(C5:C7)</f>
        <v>1</v>
      </c>
      <c r="D8" s="46" t="n">
        <f aca="false">SUM(D5:D7)</f>
        <v>1</v>
      </c>
      <c r="E8" s="18"/>
      <c r="F8" s="18"/>
      <c r="H8" s="10" t="s">
        <v>118</v>
      </c>
      <c r="I8" s="41" t="n">
        <f aca="false">'1. Situação Antes'!I10</f>
        <v>23814.064</v>
      </c>
      <c r="J8" s="41" t="n">
        <f aca="false">'1. Situação Antes'!L10</f>
        <v>16311.155</v>
      </c>
      <c r="K8" s="41" t="n">
        <f aca="false">I8+J8</f>
        <v>40125.219</v>
      </c>
      <c r="L8" s="10"/>
    </row>
    <row r="9" customFormat="false" ht="15" hidden="false" customHeight="false" outlineLevel="0" collapsed="false">
      <c r="H9" s="10" t="s">
        <v>119</v>
      </c>
      <c r="I9" s="41" t="n">
        <f aca="false">'1. Situação Antes'!I13</f>
        <v>420.06</v>
      </c>
      <c r="J9" s="41" t="n">
        <f aca="false">'1. Situação Antes'!L13</f>
        <v>232.757</v>
      </c>
      <c r="K9" s="41" t="n">
        <f aca="false">I9+J9</f>
        <v>652.817</v>
      </c>
      <c r="L9" s="10"/>
    </row>
    <row r="10" customFormat="false" ht="15" hidden="false" customHeight="true" outlineLevel="0" collapsed="false">
      <c r="B10" s="4" t="s">
        <v>120</v>
      </c>
      <c r="C10" s="4"/>
      <c r="D10" s="4"/>
      <c r="E10" s="4"/>
      <c r="F10" s="4"/>
      <c r="H10" s="10" t="s">
        <v>121</v>
      </c>
      <c r="I10" s="41" t="n">
        <f aca="false">'1. Situação Antes'!I14</f>
        <v>1544.758</v>
      </c>
      <c r="J10" s="41" t="n">
        <f aca="false">'1. Situação Antes'!L14</f>
        <v>227.944</v>
      </c>
      <c r="K10" s="41" t="n">
        <f aca="false">I10+J10</f>
        <v>1772.702</v>
      </c>
      <c r="L10" s="10"/>
    </row>
    <row r="11" customFormat="false" ht="15" hidden="false" customHeight="false" outlineLevel="0" collapsed="false">
      <c r="B11" s="26" t="s">
        <v>122</v>
      </c>
      <c r="C11" s="40" t="s">
        <v>123</v>
      </c>
      <c r="D11" s="40" t="s">
        <v>124</v>
      </c>
      <c r="E11" s="18"/>
      <c r="F11" s="18"/>
      <c r="H11" s="10" t="s">
        <v>88</v>
      </c>
      <c r="I11" s="41" t="n">
        <f aca="false">'1. Situação Antes'!I15</f>
        <v>120</v>
      </c>
      <c r="J11" s="41" t="n">
        <f aca="false">'1. Situação Antes'!L15</f>
        <v>0</v>
      </c>
      <c r="K11" s="41" t="n">
        <f aca="false">I11+J11</f>
        <v>120</v>
      </c>
      <c r="L11" s="10"/>
    </row>
    <row r="12" customFormat="false" ht="15" hidden="false" customHeight="false" outlineLevel="0" collapsed="false">
      <c r="B12" s="10" t="s">
        <v>125</v>
      </c>
      <c r="C12" s="41" t="n">
        <f aca="false">'1. Situação Antes'!C9</f>
        <v>119.744</v>
      </c>
      <c r="D12" s="41" t="n">
        <f aca="false">C12*2</f>
        <v>239.488</v>
      </c>
      <c r="E12" s="10"/>
      <c r="F12" s="10"/>
      <c r="H12" s="10" t="s">
        <v>126</v>
      </c>
      <c r="I12" s="41" t="n">
        <f aca="false">'1. Situação Antes'!I16</f>
        <v>23814.064</v>
      </c>
      <c r="J12" s="41" t="n">
        <f aca="false">'1. Situação Antes'!L16</f>
        <v>16311.155</v>
      </c>
      <c r="K12" s="41" t="n">
        <f aca="false">I12+J12</f>
        <v>40125.219</v>
      </c>
      <c r="L12" s="10"/>
    </row>
    <row r="13" customFormat="false" ht="15" hidden="false" customHeight="false" outlineLevel="0" collapsed="false">
      <c r="B13" s="10" t="s">
        <v>127</v>
      </c>
      <c r="C13" s="41" t="n">
        <f aca="false">'1. Situação Antes'!L18/2</f>
        <v>419.3675</v>
      </c>
      <c r="D13" s="41" t="n">
        <f aca="false">C13*2</f>
        <v>838.735</v>
      </c>
      <c r="E13" s="10"/>
      <c r="F13" s="10"/>
      <c r="H13" s="10" t="s">
        <v>128</v>
      </c>
      <c r="I13" s="41" t="n">
        <f aca="false">'1. Situação Antes'!I19</f>
        <v>85</v>
      </c>
      <c r="J13" s="41" t="n">
        <f aca="false">'1. Situação Antes'!L19</f>
        <v>519</v>
      </c>
      <c r="K13" s="41" t="n">
        <f aca="false">I13+J13</f>
        <v>604</v>
      </c>
      <c r="L13" s="10"/>
    </row>
    <row r="14" customFormat="false" ht="15" hidden="false" customHeight="false" outlineLevel="0" collapsed="false">
      <c r="B14" s="10" t="s">
        <v>129</v>
      </c>
      <c r="C14" s="41" t="n">
        <f aca="false">-(C12+C13)*Premissas!C6</f>
        <v>-74.397387</v>
      </c>
      <c r="D14" s="41" t="n">
        <f aca="false">C14*2</f>
        <v>-148.794774</v>
      </c>
      <c r="E14" s="10"/>
      <c r="F14" s="10"/>
      <c r="H14" s="10" t="s">
        <v>91</v>
      </c>
      <c r="I14" s="41" t="n">
        <f aca="false">'1. Situação Antes'!I20</f>
        <v>274.488</v>
      </c>
      <c r="J14" s="41" t="n">
        <f aca="false">'1. Situação Antes'!L20</f>
        <v>319.735</v>
      </c>
      <c r="K14" s="41" t="n">
        <f aca="false">I14+J14</f>
        <v>594.223</v>
      </c>
      <c r="L14" s="10"/>
    </row>
    <row r="15" customFormat="false" ht="15" hidden="false" customHeight="false" outlineLevel="0" collapsed="false">
      <c r="B15" s="11" t="s">
        <v>130</v>
      </c>
      <c r="C15" s="47" t="n">
        <f aca="false">C13+C14</f>
        <v>344.970113</v>
      </c>
      <c r="D15" s="47" t="n">
        <f aca="false">C15*2</f>
        <v>689.940226</v>
      </c>
      <c r="E15" s="10"/>
      <c r="F15" s="10"/>
      <c r="H15" s="10" t="s">
        <v>131</v>
      </c>
      <c r="I15" s="41" t="n">
        <f aca="false">'1. Situação Antes'!I21</f>
        <v>-120</v>
      </c>
      <c r="J15" s="41" t="n">
        <f aca="false">'1. Situação Antes'!L21</f>
        <v>0</v>
      </c>
      <c r="K15" s="41" t="n">
        <f aca="false">I15+J15</f>
        <v>-120</v>
      </c>
      <c r="L15" s="10"/>
    </row>
    <row r="16" customFormat="false" ht="15" hidden="false" customHeight="false" outlineLevel="0" collapsed="false">
      <c r="B16" s="8" t="s">
        <v>132</v>
      </c>
      <c r="C16" s="48" t="n">
        <f aca="false">C12+C15</f>
        <v>464.714113</v>
      </c>
      <c r="D16" s="48" t="n">
        <f aca="false">C16*2</f>
        <v>929.428226</v>
      </c>
      <c r="E16" s="49"/>
      <c r="F16" s="49"/>
      <c r="H16" s="26" t="s">
        <v>101</v>
      </c>
      <c r="I16" s="43" t="n">
        <f aca="false">'1. Situação Antes'!I18</f>
        <v>239.488</v>
      </c>
      <c r="J16" s="43" t="n">
        <f aca="false">'1. Situação Antes'!L18</f>
        <v>838.735</v>
      </c>
      <c r="K16" s="43" t="n">
        <f aca="false">I16+J16</f>
        <v>1078.223</v>
      </c>
      <c r="L16" s="18"/>
    </row>
    <row r="17" customFormat="false" ht="15" hidden="false" customHeight="false" outlineLevel="0" collapsed="false">
      <c r="B17" s="12" t="s">
        <v>133</v>
      </c>
      <c r="C17" s="50" t="n">
        <f aca="false">D5*K16-C16</f>
        <v>0</v>
      </c>
      <c r="D17" s="10"/>
      <c r="E17" s="10"/>
      <c r="F17" s="10"/>
      <c r="H17" s="12" t="s">
        <v>134</v>
      </c>
      <c r="I17" s="50" t="n">
        <f aca="false">SUM(I5:I8)-SUM(I9:I12)-I16</f>
        <v>-0.339999999998952</v>
      </c>
      <c r="J17" s="50" t="n">
        <f aca="false">SUM(J5:J8)-SUM(J9:J12)-J16</f>
        <v>0.844000000001529</v>
      </c>
      <c r="K17" s="50" t="n">
        <f aca="false">SUM(K5:K8)-SUM(K9:K12)-K16</f>
        <v>0.503999999998996</v>
      </c>
      <c r="L17" s="10"/>
    </row>
    <row r="19" customFormat="false" ht="15" hidden="false" customHeight="true" outlineLevel="0" collapsed="false">
      <c r="B19" s="4" t="s">
        <v>135</v>
      </c>
      <c r="C19" s="4"/>
      <c r="D19" s="4"/>
      <c r="E19" s="4"/>
      <c r="F19" s="4"/>
      <c r="H19" s="4" t="s">
        <v>136</v>
      </c>
      <c r="I19" s="4"/>
      <c r="J19" s="4"/>
      <c r="K19" s="4"/>
      <c r="L19" s="4"/>
    </row>
    <row r="20" customFormat="false" ht="15" hidden="false" customHeight="true" outlineLevel="0" collapsed="false">
      <c r="B20" s="26" t="s">
        <v>137</v>
      </c>
      <c r="C20" s="40" t="s">
        <v>138</v>
      </c>
      <c r="D20" s="40" t="s">
        <v>139</v>
      </c>
      <c r="E20" s="13" t="s">
        <v>140</v>
      </c>
      <c r="F20" s="13"/>
      <c r="H20" s="10" t="s">
        <v>141</v>
      </c>
      <c r="I20" s="41" t="n">
        <f aca="false">-'1. Situação Antes'!L18</f>
        <v>-838.735</v>
      </c>
      <c r="J20" s="10"/>
      <c r="K20" s="10"/>
      <c r="L20" s="10"/>
    </row>
    <row r="21" customFormat="false" ht="32.8" hidden="false" customHeight="true" outlineLevel="0" collapsed="false">
      <c r="B21" s="10" t="s">
        <v>142</v>
      </c>
      <c r="C21" s="41" t="n">
        <f aca="false">C13</f>
        <v>419.3675</v>
      </c>
      <c r="D21" s="10"/>
      <c r="E21" s="7" t="s">
        <v>143</v>
      </c>
      <c r="F21" s="7"/>
      <c r="H21" s="10" t="s">
        <v>144</v>
      </c>
      <c r="I21" s="41" t="n">
        <f aca="false">Premissas!C6*K16</f>
        <v>148.794774</v>
      </c>
      <c r="J21" s="10"/>
      <c r="K21" s="10"/>
      <c r="L21" s="10"/>
    </row>
    <row r="22" customFormat="false" ht="22.35" hidden="false" customHeight="true" outlineLevel="0" collapsed="false">
      <c r="B22" s="10" t="s">
        <v>145</v>
      </c>
      <c r="C22" s="10"/>
      <c r="D22" s="41" t="n">
        <f aca="false">-C14</f>
        <v>74.397387</v>
      </c>
      <c r="E22" s="7" t="s">
        <v>146</v>
      </c>
      <c r="F22" s="7"/>
      <c r="H22" s="11" t="s">
        <v>147</v>
      </c>
      <c r="I22" s="47" t="n">
        <f aca="false">I20+I21</f>
        <v>-689.940226</v>
      </c>
      <c r="J22" s="10"/>
      <c r="K22" s="10"/>
      <c r="L22" s="10"/>
    </row>
    <row r="23" customFormat="false" ht="19.5" hidden="false" customHeight="true" outlineLevel="0" collapsed="false">
      <c r="B23" s="11" t="s">
        <v>148</v>
      </c>
      <c r="C23" s="47" t="n">
        <f aca="false">C21-D22</f>
        <v>344.970113</v>
      </c>
      <c r="D23" s="10"/>
      <c r="E23" s="12" t="s">
        <v>149</v>
      </c>
      <c r="F23" s="12"/>
      <c r="H23" s="17" t="s">
        <v>150</v>
      </c>
      <c r="I23" s="17"/>
      <c r="J23" s="17"/>
      <c r="K23" s="17"/>
      <c r="L23" s="17"/>
    </row>
    <row r="24" customFormat="false" ht="19.5" hidden="false" customHeight="true" outlineLevel="0" collapsed="false">
      <c r="H24" s="17"/>
      <c r="I24" s="17"/>
      <c r="J24" s="17"/>
      <c r="K24" s="17"/>
      <c r="L24" s="17"/>
    </row>
    <row r="25" customFormat="false" ht="15" hidden="false" customHeight="true" outlineLevel="0" collapsed="false">
      <c r="B25" s="4" t="s">
        <v>151</v>
      </c>
      <c r="C25" s="4"/>
      <c r="D25" s="4"/>
      <c r="E25" s="4"/>
      <c r="F25" s="4"/>
    </row>
    <row r="26" customFormat="false" ht="15" hidden="false" customHeight="false" outlineLevel="0" collapsed="false">
      <c r="B26" s="26" t="s">
        <v>152</v>
      </c>
      <c r="C26" s="40" t="s">
        <v>101</v>
      </c>
      <c r="D26" s="40" t="s">
        <v>153</v>
      </c>
      <c r="E26" s="40" t="s">
        <v>154</v>
      </c>
      <c r="F26" s="40" t="s">
        <v>155</v>
      </c>
    </row>
    <row r="27" customFormat="false" ht="15" hidden="false" customHeight="false" outlineLevel="0" collapsed="false">
      <c r="B27" s="10" t="s">
        <v>156</v>
      </c>
      <c r="C27" s="41" t="n">
        <f aca="false">'1. Situação Antes'!I18</f>
        <v>239.488</v>
      </c>
      <c r="D27" s="41" t="n">
        <f aca="false">C27</f>
        <v>239.488</v>
      </c>
      <c r="E27" s="41" t="n">
        <f aca="false">C27*(1-Premissas!C6)</f>
        <v>206.438656</v>
      </c>
      <c r="F27" s="41" t="n">
        <f aca="false">E27-D27</f>
        <v>-33.049344</v>
      </c>
    </row>
    <row r="28" customFormat="false" ht="15" hidden="false" customHeight="false" outlineLevel="0" collapsed="false">
      <c r="B28" s="10" t="s">
        <v>157</v>
      </c>
      <c r="C28" s="41" t="n">
        <f aca="false">'1. Situação Antes'!L18*Premissas!C15</f>
        <v>548.180150115474</v>
      </c>
      <c r="D28" s="41" t="n">
        <v>0</v>
      </c>
      <c r="E28" s="41" t="n">
        <f aca="false">C28*(1-Premissas!C6)</f>
        <v>472.531289399538</v>
      </c>
      <c r="F28" s="41" t="n">
        <f aca="false">E28-D28</f>
        <v>472.531289399538</v>
      </c>
    </row>
    <row r="29" customFormat="false" ht="15" hidden="false" customHeight="false" outlineLevel="0" collapsed="false">
      <c r="B29" s="51" t="s">
        <v>158</v>
      </c>
      <c r="C29" s="52" t="n">
        <f aca="false">'1. Situação Antes'!L18*Premissas!C14</f>
        <v>290.554849884527</v>
      </c>
      <c r="D29" s="52" t="n">
        <v>0</v>
      </c>
      <c r="E29" s="52" t="n">
        <f aca="false">C29*(1-Premissas!C6)</f>
        <v>250.458280600462</v>
      </c>
      <c r="F29" s="52" t="n">
        <f aca="false">E29-D29</f>
        <v>250.458280600462</v>
      </c>
    </row>
    <row r="30" customFormat="false" ht="15" hidden="false" customHeight="false" outlineLevel="0" collapsed="false">
      <c r="B30" s="26" t="s">
        <v>159</v>
      </c>
      <c r="C30" s="43" t="n">
        <f aca="false">SUM(C27:C29)</f>
        <v>1078.223</v>
      </c>
      <c r="D30" s="43" t="n">
        <f aca="false">SUM(D27:D29)</f>
        <v>239.488</v>
      </c>
      <c r="E30" s="43" t="n">
        <f aca="false">SUM(E27:E29)</f>
        <v>929.428226</v>
      </c>
      <c r="F30" s="43" t="n">
        <f aca="false">SUM(F27:F29)</f>
        <v>689.940226</v>
      </c>
    </row>
    <row r="31" customFormat="false" ht="15" hidden="false" customHeight="false" outlineLevel="0" collapsed="false">
      <c r="B31" s="12" t="s">
        <v>160</v>
      </c>
      <c r="C31" s="10"/>
      <c r="D31" s="10"/>
      <c r="E31" s="10"/>
      <c r="F31" s="50" t="n">
        <f aca="false">F30/2-C15</f>
        <v>0</v>
      </c>
    </row>
    <row r="33" customFormat="false" ht="19.5" hidden="false" customHeight="true" outlineLevel="0" collapsed="false">
      <c r="B33" s="17" t="s">
        <v>161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customFormat="false" ht="19.5" hidden="false" customHeight="true" outlineLevel="0" collapsed="false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</row>
  </sheetData>
  <mergeCells count="12">
    <mergeCell ref="B3:F3"/>
    <mergeCell ref="H3:L3"/>
    <mergeCell ref="B10:F10"/>
    <mergeCell ref="B19:F19"/>
    <mergeCell ref="H19:L19"/>
    <mergeCell ref="E20:F20"/>
    <mergeCell ref="E21:F21"/>
    <mergeCell ref="E22:F22"/>
    <mergeCell ref="E23:F23"/>
    <mergeCell ref="H23:L24"/>
    <mergeCell ref="B25:F25"/>
    <mergeCell ref="B33:L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4"/>
    <col collapsed="false" customWidth="true" hidden="false" outlineLevel="0" max="4" min="3" style="0" width="15"/>
    <col collapsed="false" customWidth="true" hidden="false" outlineLevel="0" max="5" min="5" style="0" width="2"/>
    <col collapsed="false" customWidth="true" hidden="false" outlineLevel="0" max="7" min="6" style="0" width="15"/>
  </cols>
  <sheetData>
    <row r="1" customFormat="false" ht="29.85" hidden="false" customHeight="false" outlineLevel="0" collapsed="false">
      <c r="B1" s="1" t="s">
        <v>162</v>
      </c>
    </row>
    <row r="3" customFormat="false" ht="15" hidden="false" customHeight="true" outlineLevel="0" collapsed="false">
      <c r="B3" s="4" t="s">
        <v>163</v>
      </c>
      <c r="C3" s="4"/>
      <c r="D3" s="4"/>
      <c r="E3" s="4"/>
      <c r="F3" s="4"/>
      <c r="G3" s="4"/>
    </row>
    <row r="4" customFormat="false" ht="15" hidden="false" customHeight="false" outlineLevel="0" collapsed="false">
      <c r="B4" s="10" t="s">
        <v>164</v>
      </c>
      <c r="C4" s="45" t="n">
        <f aca="false">Premissas!C7-Premissas!C6</f>
        <v>0.262</v>
      </c>
      <c r="D4" s="10"/>
      <c r="E4" s="10"/>
      <c r="F4" s="10"/>
      <c r="G4" s="10"/>
    </row>
    <row r="5" customFormat="false" ht="15" hidden="false" customHeight="false" outlineLevel="0" collapsed="false">
      <c r="B5" s="10" t="s">
        <v>165</v>
      </c>
      <c r="C5" s="45" t="n">
        <f aca="false">C4/2</f>
        <v>0.131</v>
      </c>
      <c r="D5" s="10"/>
      <c r="E5" s="10"/>
      <c r="F5" s="10"/>
      <c r="G5" s="10"/>
    </row>
    <row r="6" customFormat="false" ht="15" hidden="false" customHeight="false" outlineLevel="0" collapsed="false">
      <c r="B6" s="10" t="s">
        <v>166</v>
      </c>
      <c r="C6" s="45" t="n">
        <f aca="false">'2. Incorporação CPC 15'!D5</f>
        <v>0.431</v>
      </c>
      <c r="D6" s="10"/>
      <c r="E6" s="10"/>
      <c r="F6" s="10"/>
      <c r="G6" s="10"/>
    </row>
    <row r="7" customFormat="false" ht="15" hidden="false" customHeight="false" outlineLevel="0" collapsed="false">
      <c r="B7" s="11" t="s">
        <v>167</v>
      </c>
      <c r="C7" s="28" t="n">
        <f aca="false">C5/C6</f>
        <v>0.303944315545244</v>
      </c>
      <c r="D7" s="10"/>
      <c r="E7" s="10"/>
      <c r="F7" s="10"/>
      <c r="G7" s="10"/>
    </row>
    <row r="8" customFormat="false" ht="15" hidden="false" customHeight="false" outlineLevel="0" collapsed="false">
      <c r="B8" s="10" t="s">
        <v>168</v>
      </c>
      <c r="C8" s="41" t="n">
        <f aca="false">Premissas!C18</f>
        <v>600</v>
      </c>
      <c r="D8" s="10"/>
      <c r="E8" s="10"/>
      <c r="F8" s="10"/>
      <c r="G8" s="10"/>
    </row>
    <row r="10" customFormat="false" ht="15" hidden="false" customHeight="true" outlineLevel="0" collapsed="false">
      <c r="B10" s="4" t="s">
        <v>169</v>
      </c>
      <c r="C10" s="4"/>
      <c r="D10" s="4"/>
      <c r="E10" s="4"/>
      <c r="F10" s="4"/>
      <c r="G10" s="4"/>
    </row>
    <row r="11" customFormat="false" ht="15" hidden="false" customHeight="false" outlineLevel="0" collapsed="false">
      <c r="B11" s="26" t="s">
        <v>106</v>
      </c>
      <c r="C11" s="40" t="s">
        <v>170</v>
      </c>
      <c r="D11" s="40" t="s">
        <v>171</v>
      </c>
      <c r="E11" s="18"/>
      <c r="F11" s="40" t="s">
        <v>172</v>
      </c>
      <c r="G11" s="18"/>
    </row>
    <row r="12" customFormat="false" ht="15" hidden="false" customHeight="false" outlineLevel="0" collapsed="false">
      <c r="B12" s="10" t="s">
        <v>112</v>
      </c>
      <c r="C12" s="45" t="n">
        <f aca="false">'2. Incorporação CPC 15'!D5</f>
        <v>0.431</v>
      </c>
      <c r="D12" s="45" t="n">
        <f aca="false">-$C$5</f>
        <v>-0.131</v>
      </c>
      <c r="E12" s="10"/>
      <c r="F12" s="45" t="n">
        <f aca="false">C12+D12</f>
        <v>0.3</v>
      </c>
      <c r="G12" s="10"/>
    </row>
    <row r="13" customFormat="false" ht="15" hidden="false" customHeight="false" outlineLevel="0" collapsed="false">
      <c r="B13" s="10" t="s">
        <v>114</v>
      </c>
      <c r="C13" s="45" t="n">
        <f aca="false">'2. Incorporação CPC 15'!D6</f>
        <v>0.431</v>
      </c>
      <c r="D13" s="45" t="n">
        <f aca="false">-$C$5</f>
        <v>-0.131</v>
      </c>
      <c r="E13" s="10"/>
      <c r="F13" s="45" t="n">
        <f aca="false">C13+D13</f>
        <v>0.3</v>
      </c>
      <c r="G13" s="10"/>
    </row>
    <row r="14" customFormat="false" ht="15" hidden="false" customHeight="false" outlineLevel="0" collapsed="false">
      <c r="B14" s="10" t="s">
        <v>173</v>
      </c>
      <c r="C14" s="45" t="n">
        <f aca="false">'2. Incorporação CPC 15'!D7</f>
        <v>0.138</v>
      </c>
      <c r="D14" s="45" t="n">
        <f aca="false">$C$4</f>
        <v>0.262</v>
      </c>
      <c r="E14" s="10"/>
      <c r="F14" s="45" t="n">
        <f aca="false">C14+D14</f>
        <v>0.4</v>
      </c>
      <c r="G14" s="10"/>
    </row>
    <row r="15" customFormat="false" ht="15" hidden="false" customHeight="false" outlineLevel="0" collapsed="false">
      <c r="B15" s="26" t="s">
        <v>117</v>
      </c>
      <c r="C15" s="46" t="n">
        <f aca="false">SUM(C12:C14)</f>
        <v>1</v>
      </c>
      <c r="D15" s="46" t="n">
        <f aca="false">SUM(D12:D14)</f>
        <v>0</v>
      </c>
      <c r="E15" s="18"/>
      <c r="F15" s="46" t="n">
        <f aca="false">SUM(F12:F14)</f>
        <v>1</v>
      </c>
      <c r="G15" s="18"/>
    </row>
    <row r="17" customFormat="false" ht="15" hidden="false" customHeight="true" outlineLevel="0" collapsed="false">
      <c r="B17" s="4" t="s">
        <v>174</v>
      </c>
      <c r="C17" s="4"/>
      <c r="D17" s="4"/>
      <c r="E17" s="4"/>
      <c r="F17" s="4"/>
      <c r="G17" s="4"/>
    </row>
    <row r="18" customFormat="false" ht="15" hidden="false" customHeight="true" outlineLevel="0" collapsed="false">
      <c r="B18" s="26"/>
      <c r="C18" s="13" t="s">
        <v>123</v>
      </c>
      <c r="D18" s="13"/>
      <c r="E18" s="10"/>
      <c r="F18" s="13" t="s">
        <v>124</v>
      </c>
      <c r="G18" s="13"/>
    </row>
    <row r="19" customFormat="false" ht="15" hidden="false" customHeight="false" outlineLevel="0" collapsed="false">
      <c r="B19" s="26" t="s">
        <v>122</v>
      </c>
      <c r="C19" s="53" t="s">
        <v>175</v>
      </c>
      <c r="D19" s="54" t="s">
        <v>176</v>
      </c>
      <c r="E19" s="10"/>
      <c r="F19" s="53" t="s">
        <v>177</v>
      </c>
      <c r="G19" s="54" t="s">
        <v>178</v>
      </c>
    </row>
    <row r="20" customFormat="false" ht="15" hidden="false" customHeight="false" outlineLevel="0" collapsed="false">
      <c r="B20" s="10" t="s">
        <v>179</v>
      </c>
      <c r="C20" s="41" t="n">
        <f aca="false">$C$8</f>
        <v>600</v>
      </c>
      <c r="D20" s="41" t="n">
        <f aca="false">$C$8</f>
        <v>600</v>
      </c>
      <c r="E20" s="10"/>
      <c r="F20" s="41" t="n">
        <f aca="false">C20*2</f>
        <v>1200</v>
      </c>
      <c r="G20" s="41" t="n">
        <f aca="false">D20*2</f>
        <v>1200</v>
      </c>
    </row>
    <row r="21" customFormat="false" ht="15" hidden="false" customHeight="false" outlineLevel="0" collapsed="false">
      <c r="B21" s="10" t="s">
        <v>180</v>
      </c>
      <c r="C21" s="41" t="n">
        <f aca="false">'2. Incorporação CPC 15'!C12</f>
        <v>119.744</v>
      </c>
      <c r="D21" s="41" t="n">
        <f aca="false">'2. Incorporação CPC 15'!C16</f>
        <v>464.714113</v>
      </c>
      <c r="E21" s="10"/>
      <c r="F21" s="41" t="n">
        <f aca="false">C21*2</f>
        <v>239.488</v>
      </c>
      <c r="G21" s="41" t="n">
        <f aca="false">D21*2</f>
        <v>929.428226</v>
      </c>
    </row>
    <row r="22" customFormat="false" ht="15" hidden="false" customHeight="false" outlineLevel="0" collapsed="false">
      <c r="B22" s="10" t="s">
        <v>181</v>
      </c>
      <c r="C22" s="41" t="n">
        <f aca="false">C21*$C$7</f>
        <v>36.3955081206497</v>
      </c>
      <c r="D22" s="41" t="n">
        <f aca="false">D21*$C$7</f>
        <v>141.247213</v>
      </c>
      <c r="E22" s="10"/>
      <c r="F22" s="41" t="n">
        <f aca="false">C22*2</f>
        <v>72.7910162412993</v>
      </c>
      <c r="G22" s="41" t="n">
        <f aca="false">D22*2</f>
        <v>282.494426</v>
      </c>
    </row>
    <row r="23" customFormat="false" ht="15" hidden="false" customHeight="false" outlineLevel="0" collapsed="false">
      <c r="B23" s="11" t="s">
        <v>182</v>
      </c>
      <c r="C23" s="47" t="n">
        <f aca="false">C20-C22</f>
        <v>563.60449187935</v>
      </c>
      <c r="D23" s="47" t="n">
        <f aca="false">D20-D22</f>
        <v>458.752787</v>
      </c>
      <c r="E23" s="10"/>
      <c r="F23" s="47" t="n">
        <f aca="false">C23*2</f>
        <v>1127.2089837587</v>
      </c>
      <c r="G23" s="47" t="n">
        <f aca="false">D23*2</f>
        <v>917.505574</v>
      </c>
    </row>
    <row r="24" customFormat="false" ht="15" hidden="false" customHeight="false" outlineLevel="0" collapsed="false">
      <c r="B24" s="11" t="s">
        <v>183</v>
      </c>
      <c r="C24" s="47" t="n">
        <f aca="false">C23*Premissas!C8</f>
        <v>191.625527238979</v>
      </c>
      <c r="D24" s="47" t="n">
        <f aca="false">D23*Premissas!C8</f>
        <v>155.97594758</v>
      </c>
      <c r="E24" s="10"/>
      <c r="F24" s="47" t="n">
        <f aca="false">C24*2</f>
        <v>383.251054477958</v>
      </c>
      <c r="G24" s="47" t="n">
        <f aca="false">D24*2</f>
        <v>311.95189516</v>
      </c>
    </row>
    <row r="25" customFormat="false" ht="15" hidden="false" customHeight="false" outlineLevel="0" collapsed="false">
      <c r="B25" s="10" t="s">
        <v>184</v>
      </c>
      <c r="C25" s="41" t="n">
        <f aca="false">C20-C24</f>
        <v>408.374472761021</v>
      </c>
      <c r="D25" s="41" t="n">
        <f aca="false">D20-D24</f>
        <v>444.02405242</v>
      </c>
      <c r="E25" s="10"/>
      <c r="F25" s="41" t="n">
        <f aca="false">C25*2</f>
        <v>816.748945522042</v>
      </c>
      <c r="G25" s="41" t="n">
        <f aca="false">D25*2</f>
        <v>888.04810484</v>
      </c>
    </row>
    <row r="26" customFormat="false" ht="15" hidden="false" customHeight="false" outlineLevel="0" collapsed="false">
      <c r="B26" s="10" t="s">
        <v>185</v>
      </c>
      <c r="C26" s="45" t="n">
        <f aca="false">C24/C20</f>
        <v>0.319375878731632</v>
      </c>
      <c r="D26" s="45" t="n">
        <f aca="false">D24/D20</f>
        <v>0.259959912633333</v>
      </c>
      <c r="E26" s="10"/>
      <c r="F26" s="45" t="n">
        <f aca="false">F24/F20</f>
        <v>0.319375878731632</v>
      </c>
      <c r="G26" s="45" t="n">
        <f aca="false">G24/G20</f>
        <v>0.259959912633333</v>
      </c>
    </row>
    <row r="27" customFormat="false" ht="15" hidden="false" customHeight="false" outlineLevel="0" collapsed="false">
      <c r="B27" s="11" t="s">
        <v>186</v>
      </c>
      <c r="C27" s="47" t="n">
        <f aca="false">C21-C22</f>
        <v>83.3484918793504</v>
      </c>
      <c r="D27" s="47" t="n">
        <f aca="false">D21-D22</f>
        <v>323.4669</v>
      </c>
      <c r="E27" s="10"/>
      <c r="F27" s="47" t="n">
        <f aca="false">C27*2</f>
        <v>166.696983758701</v>
      </c>
      <c r="G27" s="47" t="n">
        <f aca="false">D27*2</f>
        <v>646.9338</v>
      </c>
    </row>
    <row r="28" customFormat="false" ht="15" hidden="false" customHeight="false" outlineLevel="0" collapsed="false">
      <c r="B28" s="8" t="s">
        <v>187</v>
      </c>
      <c r="C28" s="48" t="n">
        <f aca="false">C24-D24</f>
        <v>35.6495796589791</v>
      </c>
      <c r="D28" s="49"/>
      <c r="E28" s="10"/>
      <c r="F28" s="48" t="n">
        <f aca="false">F24-G24</f>
        <v>71.2991593179582</v>
      </c>
      <c r="G28" s="49"/>
    </row>
    <row r="30" customFormat="false" ht="15" hidden="false" customHeight="true" outlineLevel="0" collapsed="false">
      <c r="B30" s="17" t="s">
        <v>188</v>
      </c>
      <c r="C30" s="17"/>
      <c r="D30" s="17"/>
      <c r="E30" s="17"/>
      <c r="F30" s="17"/>
      <c r="G30" s="17"/>
    </row>
    <row r="31" customFormat="false" ht="15" hidden="false" customHeight="false" outlineLevel="0" collapsed="false">
      <c r="B31" s="17"/>
      <c r="C31" s="17"/>
      <c r="D31" s="17"/>
      <c r="E31" s="17"/>
      <c r="F31" s="17"/>
      <c r="G31" s="17"/>
    </row>
    <row r="32" customFormat="false" ht="15" hidden="false" customHeight="false" outlineLevel="0" collapsed="false">
      <c r="B32" s="17"/>
      <c r="C32" s="17"/>
      <c r="D32" s="17"/>
      <c r="E32" s="17"/>
      <c r="F32" s="17"/>
      <c r="G32" s="17"/>
    </row>
  </sheetData>
  <mergeCells count="6">
    <mergeCell ref="B3:G3"/>
    <mergeCell ref="B10:G10"/>
    <mergeCell ref="B17:G17"/>
    <mergeCell ref="C18:D18"/>
    <mergeCell ref="F18:G18"/>
    <mergeCell ref="B30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40"/>
  </cols>
  <sheetData>
    <row r="1" customFormat="false" ht="29.85" hidden="false" customHeight="false" outlineLevel="0" collapsed="false">
      <c r="B1" s="1" t="s">
        <v>189</v>
      </c>
    </row>
    <row r="3" customFormat="false" ht="15" hidden="false" customHeight="true" outlineLevel="0" collapsed="false">
      <c r="B3" s="4" t="s">
        <v>190</v>
      </c>
      <c r="C3" s="4"/>
      <c r="D3" s="4"/>
      <c r="E3" s="4"/>
    </row>
    <row r="4" customFormat="false" ht="15" hidden="false" customHeight="false" outlineLevel="0" collapsed="false">
      <c r="B4" s="10" t="s">
        <v>191</v>
      </c>
      <c r="C4" s="41" t="n">
        <f aca="false">'3. Cash Out'!C25</f>
        <v>408.374472761021</v>
      </c>
      <c r="D4" s="10"/>
      <c r="E4" s="12" t="s">
        <v>192</v>
      </c>
    </row>
    <row r="5" customFormat="false" ht="15" hidden="false" customHeight="false" outlineLevel="0" collapsed="false">
      <c r="B5" s="10" t="s">
        <v>193</v>
      </c>
      <c r="C5" s="41" t="n">
        <f aca="false">C4*Premissas!C21</f>
        <v>40.8374472761021</v>
      </c>
      <c r="D5" s="10"/>
      <c r="E5" s="12" t="s">
        <v>194</v>
      </c>
    </row>
    <row r="6" customFormat="false" ht="15" hidden="false" customHeight="false" outlineLevel="0" collapsed="false">
      <c r="B6" s="11" t="s">
        <v>195</v>
      </c>
      <c r="C6" s="47" t="n">
        <f aca="false">C4-C5</f>
        <v>367.537025484919</v>
      </c>
      <c r="D6" s="10"/>
      <c r="E6" s="10"/>
    </row>
    <row r="8" customFormat="false" ht="15" hidden="false" customHeight="true" outlineLevel="0" collapsed="false">
      <c r="B8" s="4" t="s">
        <v>196</v>
      </c>
      <c r="C8" s="4"/>
      <c r="D8" s="4"/>
      <c r="E8" s="4"/>
    </row>
    <row r="9" customFormat="false" ht="15" hidden="false" customHeight="false" outlineLevel="0" collapsed="false">
      <c r="B9" s="26" t="s">
        <v>122</v>
      </c>
      <c r="C9" s="40" t="s">
        <v>197</v>
      </c>
      <c r="D9" s="40" t="s">
        <v>198</v>
      </c>
      <c r="E9" s="26" t="s">
        <v>199</v>
      </c>
    </row>
    <row r="10" customFormat="false" ht="15" hidden="false" customHeight="false" outlineLevel="0" collapsed="false">
      <c r="B10" s="26" t="s">
        <v>200</v>
      </c>
      <c r="C10" s="43" t="n">
        <f aca="false">C4</f>
        <v>408.374472761021</v>
      </c>
      <c r="D10" s="43" t="n">
        <f aca="false">C6</f>
        <v>367.537025484919</v>
      </c>
      <c r="E10" s="20" t="s">
        <v>201</v>
      </c>
    </row>
    <row r="11" customFormat="false" ht="15" hidden="false" customHeight="false" outlineLevel="0" collapsed="false">
      <c r="B11" s="10" t="s">
        <v>202</v>
      </c>
      <c r="C11" s="41" t="n">
        <f aca="false">C10*Premissas!C22*Premissas!C23</f>
        <v>49.0049367313225</v>
      </c>
      <c r="D11" s="41" t="n">
        <f aca="false">D10*Premissas!C22*Premissas!C24</f>
        <v>46.3096652110998</v>
      </c>
      <c r="E11" s="12" t="s">
        <v>203</v>
      </c>
    </row>
    <row r="12" customFormat="false" ht="15" hidden="false" customHeight="false" outlineLevel="0" collapsed="false">
      <c r="B12" s="10" t="s">
        <v>204</v>
      </c>
      <c r="C12" s="41" t="n">
        <f aca="false">-C11*Premissas!C25</f>
        <v>-16.6616784886497</v>
      </c>
      <c r="D12" s="41" t="n">
        <f aca="false">-D11*Premissas!C26</f>
        <v>-12.5036096069969</v>
      </c>
      <c r="E12" s="12" t="s">
        <v>205</v>
      </c>
    </row>
    <row r="13" customFormat="false" ht="15" hidden="false" customHeight="false" outlineLevel="0" collapsed="false">
      <c r="B13" s="26" t="s">
        <v>206</v>
      </c>
      <c r="C13" s="43" t="n">
        <f aca="false">SUM(C10:C12)</f>
        <v>440.717731003694</v>
      </c>
      <c r="D13" s="43" t="n">
        <f aca="false">SUM(D10:D12)</f>
        <v>401.343081089022</v>
      </c>
      <c r="E13" s="20"/>
    </row>
    <row r="14" customFormat="false" ht="15" hidden="false" customHeight="false" outlineLevel="0" collapsed="false">
      <c r="B14" s="10" t="s">
        <v>207</v>
      </c>
      <c r="C14" s="41" t="n">
        <f aca="false">C13*Premissas!C22*Premissas!C23</f>
        <v>52.8861277204432</v>
      </c>
      <c r="D14" s="41" t="n">
        <f aca="false">D13*Premissas!C22*Premissas!C24</f>
        <v>50.5692282172167</v>
      </c>
      <c r="E14" s="12"/>
    </row>
    <row r="15" customFormat="false" ht="15" hidden="false" customHeight="false" outlineLevel="0" collapsed="false">
      <c r="B15" s="10" t="s">
        <v>208</v>
      </c>
      <c r="C15" s="41" t="n">
        <f aca="false">-C14*Premissas!C25</f>
        <v>-17.9812834249507</v>
      </c>
      <c r="D15" s="41" t="n">
        <f aca="false">-D14*Premissas!C26</f>
        <v>-13.6536916186485</v>
      </c>
      <c r="E15" s="12"/>
    </row>
    <row r="16" customFormat="false" ht="15" hidden="false" customHeight="false" outlineLevel="0" collapsed="false">
      <c r="B16" s="26" t="s">
        <v>209</v>
      </c>
      <c r="C16" s="43" t="n">
        <f aca="false">SUM(C13:C15)</f>
        <v>475.622575299186</v>
      </c>
      <c r="D16" s="43" t="n">
        <f aca="false">SUM(D13:D15)</f>
        <v>438.25861768759</v>
      </c>
      <c r="E16" s="20"/>
    </row>
    <row r="17" customFormat="false" ht="15" hidden="false" customHeight="false" outlineLevel="0" collapsed="false">
      <c r="B17" s="8" t="s">
        <v>210</v>
      </c>
      <c r="C17" s="48" t="n">
        <f aca="false">C16-D16</f>
        <v>37.3639576115964</v>
      </c>
      <c r="D17" s="49"/>
      <c r="E17" s="49"/>
    </row>
    <row r="19" customFormat="false" ht="15" hidden="false" customHeight="true" outlineLevel="0" collapsed="false">
      <c r="B19" s="17" t="s">
        <v>211</v>
      </c>
      <c r="C19" s="17"/>
      <c r="D19" s="17"/>
      <c r="E19" s="17"/>
    </row>
    <row r="20" customFormat="false" ht="15" hidden="false" customHeight="false" outlineLevel="0" collapsed="false">
      <c r="B20" s="17"/>
      <c r="C20" s="17"/>
      <c r="D20" s="17"/>
      <c r="E20" s="17"/>
    </row>
    <row r="21" customFormat="false" ht="15" hidden="false" customHeight="false" outlineLevel="0" collapsed="false">
      <c r="B21" s="17"/>
      <c r="C21" s="17"/>
      <c r="D21" s="17"/>
      <c r="E21" s="17"/>
    </row>
  </sheetData>
  <mergeCells count="3">
    <mergeCell ref="B3:E3"/>
    <mergeCell ref="B8:E8"/>
    <mergeCell ref="B19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4"/>
    <col collapsed="false" customWidth="true" hidden="false" outlineLevel="0" max="7" min="3" style="0" width="13"/>
  </cols>
  <sheetData>
    <row r="1" customFormat="false" ht="29.85" hidden="false" customHeight="false" outlineLevel="0" collapsed="false">
      <c r="B1" s="1" t="s">
        <v>212</v>
      </c>
    </row>
    <row r="3" customFormat="false" ht="15" hidden="false" customHeight="true" outlineLevel="0" collapsed="false">
      <c r="B3" s="4" t="s">
        <v>213</v>
      </c>
      <c r="C3" s="4"/>
      <c r="D3" s="4"/>
      <c r="E3" s="4"/>
      <c r="F3" s="4"/>
      <c r="G3" s="4"/>
    </row>
    <row r="4" customFormat="false" ht="15" hidden="false" customHeight="false" outlineLevel="0" collapsed="false">
      <c r="B4" s="10" t="s">
        <v>214</v>
      </c>
      <c r="C4" s="45" t="n">
        <f aca="false">'3. Cash Out'!F12</f>
        <v>0.3</v>
      </c>
      <c r="D4" s="10"/>
      <c r="E4" s="10"/>
      <c r="F4" s="10"/>
      <c r="G4" s="10"/>
    </row>
    <row r="5" customFormat="false" ht="15" hidden="false" customHeight="false" outlineLevel="0" collapsed="false">
      <c r="B5" s="10" t="s">
        <v>215</v>
      </c>
      <c r="C5" s="41" t="n">
        <f aca="false">'3. Cash Out'!C27</f>
        <v>83.3484918793504</v>
      </c>
      <c r="D5" s="10"/>
      <c r="E5" s="10"/>
      <c r="F5" s="10"/>
      <c r="G5" s="10"/>
    </row>
    <row r="6" customFormat="false" ht="15" hidden="false" customHeight="false" outlineLevel="0" collapsed="false">
      <c r="B6" s="10" t="s">
        <v>216</v>
      </c>
      <c r="C6" s="41" t="n">
        <f aca="false">'3. Cash Out'!D27</f>
        <v>323.4669</v>
      </c>
      <c r="D6" s="10"/>
      <c r="E6" s="10"/>
      <c r="F6" s="10"/>
      <c r="G6" s="10"/>
    </row>
    <row r="7" customFormat="false" ht="15" hidden="false" customHeight="false" outlineLevel="0" collapsed="false">
      <c r="B7" s="11" t="s">
        <v>217</v>
      </c>
      <c r="C7" s="47" t="n">
        <f aca="false">C6-C5</f>
        <v>240.11840812065</v>
      </c>
      <c r="D7" s="10"/>
      <c r="E7" s="10"/>
      <c r="F7" s="10"/>
      <c r="G7" s="10"/>
    </row>
    <row r="9" customFormat="false" ht="15" hidden="false" customHeight="true" outlineLevel="0" collapsed="false">
      <c r="B9" s="4" t="s">
        <v>218</v>
      </c>
      <c r="C9" s="4"/>
      <c r="D9" s="4"/>
      <c r="E9" s="4"/>
      <c r="F9" s="4"/>
      <c r="G9" s="4"/>
    </row>
    <row r="10" customFormat="false" ht="15" hidden="false" customHeight="false" outlineLevel="0" collapsed="false">
      <c r="B10" s="55" t="s">
        <v>219</v>
      </c>
      <c r="C10" s="56" t="n">
        <v>300</v>
      </c>
      <c r="D10" s="56" t="n">
        <v>600</v>
      </c>
      <c r="E10" s="56" t="n">
        <v>900</v>
      </c>
      <c r="F10" s="56" t="n">
        <v>1200</v>
      </c>
      <c r="G10" s="56" t="n">
        <v>1500</v>
      </c>
    </row>
    <row r="11" customFormat="false" ht="15" hidden="false" customHeight="false" outlineLevel="0" collapsed="false">
      <c r="B11" s="10" t="s">
        <v>220</v>
      </c>
      <c r="C11" s="41" t="n">
        <f aca="false">C10-$C$5</f>
        <v>216.65150812065</v>
      </c>
      <c r="D11" s="41" t="n">
        <f aca="false">D10-$C$5</f>
        <v>516.65150812065</v>
      </c>
      <c r="E11" s="41" t="n">
        <f aca="false">E10-$C$5</f>
        <v>816.65150812065</v>
      </c>
      <c r="F11" s="41" t="n">
        <f aca="false">F10-$C$5</f>
        <v>1116.65150812065</v>
      </c>
      <c r="G11" s="41" t="n">
        <f aca="false">G10-$C$5</f>
        <v>1416.65150812065</v>
      </c>
    </row>
    <row r="12" customFormat="false" ht="15" hidden="false" customHeight="false" outlineLevel="0" collapsed="false">
      <c r="B12" s="6" t="s">
        <v>221</v>
      </c>
      <c r="C12" s="57" t="n">
        <f aca="false">MAX(0,C11)*Premissas!C8</f>
        <v>73.6615127610209</v>
      </c>
      <c r="D12" s="57" t="n">
        <f aca="false">MAX(0,D11)*Premissas!C8</f>
        <v>175.661512761021</v>
      </c>
      <c r="E12" s="57" t="n">
        <f aca="false">MAX(0,E11)*Premissas!C8</f>
        <v>277.661512761021</v>
      </c>
      <c r="F12" s="57" t="n">
        <f aca="false">MAX(0,F11)*Premissas!C8</f>
        <v>379.661512761021</v>
      </c>
      <c r="G12" s="57" t="n">
        <f aca="false">MAX(0,G11)*Premissas!C8</f>
        <v>481.661512761021</v>
      </c>
    </row>
    <row r="13" customFormat="false" ht="15" hidden="false" customHeight="false" outlineLevel="0" collapsed="false">
      <c r="B13" s="10" t="s">
        <v>222</v>
      </c>
      <c r="C13" s="41" t="n">
        <f aca="false">C10-$C$6</f>
        <v>-23.4669</v>
      </c>
      <c r="D13" s="41" t="n">
        <f aca="false">D10-$C$6</f>
        <v>276.5331</v>
      </c>
      <c r="E13" s="41" t="n">
        <f aca="false">E10-$C$6</f>
        <v>576.5331</v>
      </c>
      <c r="F13" s="41" t="n">
        <f aca="false">F10-$C$6</f>
        <v>876.5331</v>
      </c>
      <c r="G13" s="41" t="n">
        <f aca="false">G10-$C$6</f>
        <v>1176.5331</v>
      </c>
    </row>
    <row r="14" customFormat="false" ht="15" hidden="false" customHeight="false" outlineLevel="0" collapsed="false">
      <c r="B14" s="8" t="s">
        <v>223</v>
      </c>
      <c r="C14" s="48" t="n">
        <f aca="false">MAX(0,C13)*Premissas!C8</f>
        <v>0</v>
      </c>
      <c r="D14" s="48" t="n">
        <f aca="false">MAX(0,D13)*Premissas!C8</f>
        <v>94.021254</v>
      </c>
      <c r="E14" s="48" t="n">
        <f aca="false">MAX(0,E13)*Premissas!C8</f>
        <v>196.021254</v>
      </c>
      <c r="F14" s="48" t="n">
        <f aca="false">MAX(0,F13)*Premissas!C8</f>
        <v>298.021254</v>
      </c>
      <c r="G14" s="48" t="n">
        <f aca="false">MAX(0,G13)*Premissas!C8</f>
        <v>400.021254</v>
      </c>
    </row>
    <row r="15" customFormat="false" ht="15" hidden="false" customHeight="false" outlineLevel="0" collapsed="false">
      <c r="B15" s="8" t="s">
        <v>224</v>
      </c>
      <c r="C15" s="48" t="n">
        <f aca="false">C12-C14</f>
        <v>73.6615127610209</v>
      </c>
      <c r="D15" s="48" t="n">
        <f aca="false">D12-D14</f>
        <v>81.6402587610209</v>
      </c>
      <c r="E15" s="48" t="n">
        <f aca="false">E12-E14</f>
        <v>81.6402587610209</v>
      </c>
      <c r="F15" s="48" t="n">
        <f aca="false">F12-F14</f>
        <v>81.6402587610209</v>
      </c>
      <c r="G15" s="48" t="n">
        <f aca="false">G12-G14</f>
        <v>81.6402587610209</v>
      </c>
    </row>
    <row r="16" customFormat="false" ht="15" hidden="false" customHeight="false" outlineLevel="0" collapsed="false">
      <c r="B16" s="11" t="s">
        <v>225</v>
      </c>
      <c r="C16" s="47" t="n">
        <f aca="false">C15*2</f>
        <v>147.323025522042</v>
      </c>
      <c r="D16" s="47" t="n">
        <f aca="false">D15*2</f>
        <v>163.280517522042</v>
      </c>
      <c r="E16" s="47" t="n">
        <f aca="false">E15*2</f>
        <v>163.280517522042</v>
      </c>
      <c r="F16" s="47" t="n">
        <f aca="false">F15*2</f>
        <v>163.280517522042</v>
      </c>
      <c r="G16" s="47" t="n">
        <f aca="false">G15*2</f>
        <v>163.280517522042</v>
      </c>
    </row>
    <row r="18" customFormat="false" ht="15" hidden="false" customHeight="true" outlineLevel="0" collapsed="false">
      <c r="B18" s="17" t="s">
        <v>226</v>
      </c>
      <c r="C18" s="17"/>
      <c r="D18" s="17"/>
      <c r="E18" s="17"/>
      <c r="F18" s="17"/>
      <c r="G18" s="17"/>
    </row>
    <row r="19" customFormat="false" ht="15" hidden="false" customHeight="false" outlineLevel="0" collapsed="false">
      <c r="B19" s="17"/>
      <c r="C19" s="17"/>
      <c r="D19" s="17"/>
      <c r="E19" s="17"/>
      <c r="F19" s="17"/>
      <c r="G19" s="17"/>
    </row>
    <row r="20" customFormat="false" ht="15" hidden="false" customHeight="false" outlineLevel="0" collapsed="false">
      <c r="B20" s="17"/>
      <c r="C20" s="17"/>
      <c r="D20" s="17"/>
      <c r="E20" s="17"/>
      <c r="F20" s="17"/>
      <c r="G20" s="17"/>
    </row>
  </sheetData>
  <mergeCells count="3">
    <mergeCell ref="B3:G3"/>
    <mergeCell ref="B9:G9"/>
    <mergeCell ref="B18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2"/>
    <col collapsed="false" customWidth="true" hidden="false" outlineLevel="0" max="5" min="3" style="0" width="16"/>
  </cols>
  <sheetData>
    <row r="1" customFormat="false" ht="15" hidden="false" customHeight="false" outlineLevel="0" collapsed="false">
      <c r="B1" s="1" t="s">
        <v>227</v>
      </c>
    </row>
    <row r="3" customFormat="false" ht="15" hidden="false" customHeight="true" outlineLevel="0" collapsed="false">
      <c r="B3" s="4" t="s">
        <v>228</v>
      </c>
      <c r="C3" s="4"/>
      <c r="D3" s="4"/>
      <c r="E3" s="4"/>
    </row>
    <row r="4" customFormat="false" ht="15" hidden="false" customHeight="false" outlineLevel="0" collapsed="false">
      <c r="B4" s="26" t="s">
        <v>122</v>
      </c>
      <c r="C4" s="53" t="s">
        <v>175</v>
      </c>
      <c r="D4" s="54" t="s">
        <v>176</v>
      </c>
      <c r="E4" s="40" t="s">
        <v>229</v>
      </c>
    </row>
    <row r="5" customFormat="false" ht="15" hidden="false" customHeight="false" outlineLevel="0" collapsed="false">
      <c r="B5" s="10" t="s">
        <v>230</v>
      </c>
      <c r="C5" s="41" t="n">
        <f aca="false">'2. Incorporação CPC 15'!C12*2</f>
        <v>239.488</v>
      </c>
      <c r="D5" s="41" t="n">
        <f aca="false">'2. Incorporação CPC 15'!C16*2</f>
        <v>929.428226</v>
      </c>
      <c r="E5" s="41" t="n">
        <f aca="false">D5-C5</f>
        <v>689.940226</v>
      </c>
    </row>
    <row r="6" customFormat="false" ht="15" hidden="false" customHeight="false" outlineLevel="0" collapsed="false">
      <c r="B6" s="11" t="s">
        <v>231</v>
      </c>
      <c r="C6" s="47" t="n">
        <f aca="false">'3. Cash Out'!F24</f>
        <v>383.251054477958</v>
      </c>
      <c r="D6" s="47" t="n">
        <f aca="false">'3. Cash Out'!G24</f>
        <v>311.95189516</v>
      </c>
      <c r="E6" s="47" t="n">
        <f aca="false">C6-D6</f>
        <v>71.2991593179582</v>
      </c>
    </row>
    <row r="7" customFormat="false" ht="15" hidden="false" customHeight="false" outlineLevel="0" collapsed="false">
      <c r="B7" s="10" t="s">
        <v>232</v>
      </c>
      <c r="C7" s="41" t="n">
        <f aca="false">'3. Cash Out'!C27*2</f>
        <v>166.696983758701</v>
      </c>
      <c r="D7" s="41" t="n">
        <f aca="false">'3. Cash Out'!D27*2</f>
        <v>646.9338</v>
      </c>
      <c r="E7" s="41" t="n">
        <f aca="false">D7-C7</f>
        <v>480.236816241299</v>
      </c>
    </row>
    <row r="8" customFormat="false" ht="15" hidden="false" customHeight="false" outlineLevel="0" collapsed="false">
      <c r="B8" s="11" t="s">
        <v>233</v>
      </c>
      <c r="C8" s="10"/>
      <c r="D8" s="10"/>
      <c r="E8" s="47" t="n">
        <f aca="false">E7*Premissas!C8</f>
        <v>163.280517522042</v>
      </c>
    </row>
    <row r="9" customFormat="false" ht="15" hidden="false" customHeight="false" outlineLevel="0" collapsed="false">
      <c r="B9" s="8" t="s">
        <v>234</v>
      </c>
      <c r="C9" s="49"/>
      <c r="D9" s="49"/>
      <c r="E9" s="48" t="n">
        <f aca="false">E6+E8</f>
        <v>234.57967684</v>
      </c>
    </row>
    <row r="10" customFormat="false" ht="15" hidden="false" customHeight="false" outlineLevel="0" collapsed="false">
      <c r="B10" s="12" t="s">
        <v>235</v>
      </c>
      <c r="C10" s="10"/>
      <c r="D10" s="10"/>
      <c r="E10" s="50" t="n">
        <f aca="false">E9-'2. Incorporação CPC 15'!D15*Premissas!C8</f>
        <v>0</v>
      </c>
    </row>
    <row r="12" customFormat="false" ht="15" hidden="false" customHeight="true" outlineLevel="0" collapsed="false">
      <c r="B12" s="4" t="s">
        <v>236</v>
      </c>
      <c r="C12" s="4"/>
      <c r="D12" s="4"/>
      <c r="E12" s="4"/>
    </row>
    <row r="13" customFormat="false" ht="30" hidden="false" customHeight="true" outlineLevel="0" collapsed="false">
      <c r="B13" s="58" t="s">
        <v>237</v>
      </c>
      <c r="C13" s="59" t="s">
        <v>238</v>
      </c>
      <c r="D13" s="59"/>
      <c r="E13" s="59"/>
    </row>
    <row r="14" customFormat="false" ht="30" hidden="false" customHeight="true" outlineLevel="0" collapsed="false">
      <c r="B14" s="60" t="s">
        <v>239</v>
      </c>
      <c r="C14" s="61" t="s">
        <v>240</v>
      </c>
      <c r="D14" s="61"/>
      <c r="E14" s="61"/>
    </row>
    <row r="15" customFormat="false" ht="30" hidden="false" customHeight="true" outlineLevel="0" collapsed="false">
      <c r="B15" s="58" t="s">
        <v>241</v>
      </c>
      <c r="C15" s="59" t="s">
        <v>242</v>
      </c>
      <c r="D15" s="59"/>
      <c r="E15" s="59"/>
    </row>
    <row r="16" customFormat="false" ht="30" hidden="false" customHeight="true" outlineLevel="0" collapsed="false">
      <c r="B16" s="60" t="s">
        <v>243</v>
      </c>
      <c r="C16" s="61" t="s">
        <v>244</v>
      </c>
      <c r="D16" s="61"/>
      <c r="E16" s="61"/>
    </row>
    <row r="17" customFormat="false" ht="30" hidden="false" customHeight="true" outlineLevel="0" collapsed="false">
      <c r="B17" s="58" t="s">
        <v>245</v>
      </c>
      <c r="C17" s="59" t="s">
        <v>246</v>
      </c>
      <c r="D17" s="59"/>
      <c r="E17" s="59"/>
    </row>
  </sheetData>
  <mergeCells count="7">
    <mergeCell ref="B3:E3"/>
    <mergeCell ref="B12:E12"/>
    <mergeCell ref="C13:E13"/>
    <mergeCell ref="C14:E14"/>
    <mergeCell ref="C15:E15"/>
    <mergeCell ref="C16:E16"/>
    <mergeCell ref="C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2026-08-31T08:53:59Z</dcterms:created>
  <dc:creator>openpyxl</dc:creator>
  <dc:description/>
  <dc:language>en-US</dc:language>
  <cp:lastModifiedBy/>
  <dcterms:modified xsi:type="dcterms:W3CDTF">2026-08-31T08:53:59Z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