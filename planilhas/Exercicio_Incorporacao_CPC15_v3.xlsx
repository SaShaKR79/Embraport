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missas" sheetId="1" state="visible" r:id="rId3"/>
    <sheet name="Contabilização" sheetId="2" state="visible" r:id="rId4"/>
    <sheet name="Conclusão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<sst xmlns="http://schemas.openxmlformats.org/spreadsheetml/2006/main" count="176" uniqueCount="157">
  <si>
    <t xml:space="preserve">Projeto Another House — Exercício da Incorporação sob CPC 15</t>
  </si>
  <si>
    <t xml:space="preserve">Hipótese A: custo original ("magrinho")  ·  Hipótese B: custo incrementado ("gordinho")</t>
  </si>
  <si>
    <t xml:space="preserve">Base: draft MLA, aba "base 30 06 26com dividendos" · valores em R$ milhões · células AMARELAS = premissas editáveis; o restante é fórmula.</t>
  </si>
  <si>
    <t xml:space="preserve">PREMISSAS GERAIS</t>
  </si>
  <si>
    <t xml:space="preserve">Data-base dos balanços</t>
  </si>
  <si>
    <t xml:space="preserve">30.06.2026</t>
  </si>
  <si>
    <t xml:space="preserve">Participação das Partes CNP na incorporação (relação de troca)</t>
  </si>
  <si>
    <t xml:space="preserve">Draft E71</t>
  </si>
  <si>
    <t xml:space="preserve">Participação final das Partes CNP (pós cash out)</t>
  </si>
  <si>
    <t xml:space="preserve">Draft E87</t>
  </si>
  <si>
    <t xml:space="preserve">IRPJ/CSLL sobre ganho de capital</t>
  </si>
  <si>
    <t xml:space="preserve">Draft I96</t>
  </si>
  <si>
    <t xml:space="preserve">Dividendos declarados pela Embracon antes da incorporação</t>
  </si>
  <si>
    <t xml:space="preserve">Draft L23/L31 — reduz o PL da Embracon a 239,5</t>
  </si>
  <si>
    <t xml:space="preserve">Preço do cash out — por holding</t>
  </si>
  <si>
    <t xml:space="preserve">Draft G97 (total 1.200 nas duas holdings)</t>
  </si>
  <si>
    <t xml:space="preserve">SEGREGAÇÃO DO CUSTO — PROPORÇÃO DO EXEMPLO DELOITTE</t>
  </si>
  <si>
    <t xml:space="preserve">Valor justo do PL da CNP (exemplo DTT)</t>
  </si>
  <si>
    <t xml:space="preserve">Draft N86</t>
  </si>
  <si>
    <t xml:space="preserve">Mais-valia contida no exemplo (MV)</t>
  </si>
  <si>
    <t xml:space="preserve">Draft O86</t>
  </si>
  <si>
    <t xml:space="preserve">% AVJ implícito no PL da CNP (MV ÷ VJ)</t>
  </si>
  <si>
    <t xml:space="preserve">Aplicado ao PL contábil da CNP para segregar a camada de maior risco</t>
  </si>
  <si>
    <t xml:space="preserve">% contábil (sem AVJ)</t>
  </si>
  <si>
    <t xml:space="preserve">Contabilização — do balanço-base à alienação futura</t>
  </si>
  <si>
    <t xml:space="preserve">0. BALANÇOS-BASE 30.06.2026 (R$ MILHÕES)</t>
  </si>
  <si>
    <t xml:space="preserve">SAVIAN</t>
  </si>
  <si>
    <t xml:space="preserve">JVFJ</t>
  </si>
  <si>
    <t xml:space="preserve">EMBRACON</t>
  </si>
  <si>
    <t xml:space="preserve">CNP</t>
  </si>
  <si>
    <t xml:space="preserve">Ativos totais</t>
  </si>
  <si>
    <t xml:space="preserve">Passivos totais</t>
  </si>
  <si>
    <t xml:space="preserve">Patrimônio líquido</t>
  </si>
  <si>
    <t xml:space="preserve">      Capital</t>
  </si>
  <si>
    <t xml:space="preserve">      Reservas</t>
  </si>
  <si>
    <t xml:space="preserve">      (−) Dividendos declarados</t>
  </si>
  <si>
    <t xml:space="preserve">Investimento na Embracon (= 50% do PL)</t>
  </si>
  <si>
    <t xml:space="preserve">PL combinado (Embracon + CNP)</t>
  </si>
  <si>
    <t xml:space="preserve">Savian e JVFJ: ativo único = investimento na Embracon. CNP: PL = Capital 519 + Reservas 319,7 (draft).</t>
  </si>
  <si>
    <t xml:space="preserve">1. PRÉ-INCORPORAÇÃO — PARTICIPAÇÕES E CUSTO</t>
  </si>
  <si>
    <t xml:space="preserve">TOTAL</t>
  </si>
  <si>
    <t xml:space="preserve">Participação na Embracon</t>
  </si>
  <si>
    <t xml:space="preserve">Custo do investimento</t>
  </si>
  <si>
    <t xml:space="preserve">2. INCORPORAÇÃO DA CNP — RELAÇÃO DE TROCA 13,8%</t>
  </si>
  <si>
    <t xml:space="preserve">Participação após a incorporação</t>
  </si>
  <si>
    <t xml:space="preserve">Reflexo nas holdings</t>
  </si>
  <si>
    <t xml:space="preserve">POR HOLDING</t>
  </si>
  <si>
    <t xml:space="preserve">TOTAL (2 HOLDINGS)</t>
  </si>
  <si>
    <t xml:space="preserve">Investimento anterior</t>
  </si>
  <si>
    <t xml:space="preserve">(+) Incorporação base (PL da CNP ÷ 2)</t>
  </si>
  <si>
    <t xml:space="preserve">(−) Diluição de 13,8% sobre (investimento + base)</t>
  </si>
  <si>
    <t xml:space="preserve">(=) Parcela incorporada</t>
  </si>
  <si>
    <t xml:space="preserve">(=) Custo incrementado — Hipótese B ("gordinho")</t>
  </si>
  <si>
    <t xml:space="preserve">Check: 43,1% × PL combinado − custo incrementado</t>
  </si>
  <si>
    <t xml:space="preserve">Segregação do custo (camadas de risco)</t>
  </si>
  <si>
    <t xml:space="preserve">PL COMBINADO</t>
  </si>
  <si>
    <t xml:space="preserve">× 86,2%</t>
  </si>
  <si>
    <t xml:space="preserve">Δ (2 HOLDINGS)</t>
  </si>
  <si>
    <t xml:space="preserve">1. Investimento antigo (PL Embracon) — perda de diluição</t>
  </si>
  <si>
    <t xml:space="preserve">2. Reflexo do PL contábil da CNP (menor risco)</t>
  </si>
  <si>
    <t xml:space="preserve">3. Reflexo da parcela AVJ implícita (maior risco)</t>
  </si>
  <si>
    <t xml:space="preserve">Total</t>
  </si>
  <si>
    <t xml:space="preserve">CONCLUSÃO DA INCORPORAÇÃO</t>
  </si>
  <si>
    <t xml:space="preserve">Custo original — Hipótese A (por holding)</t>
  </si>
  <si>
    <t xml:space="preserve">Custo incrementado — Hipótese B (por holding)</t>
  </si>
  <si>
    <t xml:space="preserve">Parcela incorporada — total (2 holdings)</t>
  </si>
  <si>
    <t xml:space="preserve">3. SITUAÇÃO APÓS A INCORPORAÇÃO — O ACERVO VERTIDO (CINDIDO) E OS BALANÇOS</t>
  </si>
  <si>
    <t xml:space="preserve">3.1  Acervo líquido da CNP vertido à Embracon (linha a linha)</t>
  </si>
  <si>
    <t xml:space="preserve">VALOR</t>
  </si>
  <si>
    <t xml:space="preserve">Ativos — Circulante + realizável LP</t>
  </si>
  <si>
    <t xml:space="preserve">Ativos — CPC 47 (despesas/comissões diferidas)</t>
  </si>
  <si>
    <t xml:space="preserve">Ativos — Permanente</t>
  </si>
  <si>
    <t xml:space="preserve">Ativos — Compensação (grupos de consórcio)</t>
  </si>
  <si>
    <t xml:space="preserve">Total de ativos vertidos</t>
  </si>
  <si>
    <t xml:space="preserve">(−) Passivos — Circulante</t>
  </si>
  <si>
    <t xml:space="preserve">(−) Passivos — CPC 47 (receitas diferidas)</t>
  </si>
  <si>
    <t xml:space="preserve">(−) Passivos — Compensação (grupos de consórcio)</t>
  </si>
  <si>
    <t xml:space="preserve">Total de passivos assumidos</t>
  </si>
  <si>
    <t xml:space="preserve">ACERVO LÍQUIDO VERTIDO</t>
  </si>
  <si>
    <t xml:space="preserve">Check: acervo líquido − PL contábil da CNP (diferença da base do draft, a conciliar)</t>
  </si>
  <si>
    <t xml:space="preserve">3.2  Embracon combinada — balanço após a incorporação</t>
  </si>
  <si>
    <t xml:space="preserve">EMBRACON ANTES</t>
  </si>
  <si>
    <t xml:space="preserve">ACERVO VERTIDO (CNP)</t>
  </si>
  <si>
    <t xml:space="preserve">EMBRACON APÓS</t>
  </si>
  <si>
    <t xml:space="preserve">Ativo — Circulante</t>
  </si>
  <si>
    <t xml:space="preserve">Ativo — CPC 47 (despesas/comissões diferidas)</t>
  </si>
  <si>
    <t xml:space="preserve">Ativo — Permanente</t>
  </si>
  <si>
    <t xml:space="preserve">Ativo — Compensação</t>
  </si>
  <si>
    <t xml:space="preserve">Total de ativos</t>
  </si>
  <si>
    <t xml:space="preserve">Passivo — Circulante</t>
  </si>
  <si>
    <t xml:space="preserve">Passivo — CPC 47 (receitas diferidas)</t>
  </si>
  <si>
    <t xml:space="preserve">Passivo — Dividendos a pagar</t>
  </si>
  <si>
    <t xml:space="preserve">Passivo — Compensação</t>
  </si>
  <si>
    <t xml:space="preserve">Total de passivos</t>
  </si>
  <si>
    <t xml:space="preserve">PL — Capital social</t>
  </si>
  <si>
    <t xml:space="preserve">PL — Reservas</t>
  </si>
  <si>
    <t xml:space="preserve">PL — (−) Dividendos declarados</t>
  </si>
  <si>
    <t xml:space="preserve">Patrimônio líquido após</t>
  </si>
  <si>
    <t xml:space="preserve">Check (Ativos − Passivos − PL): diferenças da base do draft, a conciliar</t>
  </si>
  <si>
    <t xml:space="preserve">3.3  Balanço das holdings após (abertura do investimento)</t>
  </si>
  <si>
    <t xml:space="preserve">Inv. Embracon — custo antigo</t>
  </si>
  <si>
    <t xml:space="preserve">(+) Incorporação base (acervo ÷ 2, a valor contábil)</t>
  </si>
  <si>
    <t xml:space="preserve">(−) Diluição de 13,8%</t>
  </si>
  <si>
    <t xml:space="preserve">(=) Investimento e PL da holding após</t>
  </si>
  <si>
    <t xml:space="preserve">Check: 43,1% × PL combinado após − investimento da holding</t>
  </si>
  <si>
    <t xml:space="preserve">3.4  Prova da somatória (como no draft)</t>
  </si>
  <si>
    <t xml:space="preserve">PL combinado após a incorporação</t>
  </si>
  <si>
    <t xml:space="preserve">Participação das Partes CNP (13,8%)</t>
  </si>
  <si>
    <t xml:space="preserve">Participação Savian + JVFJ (86,2%)</t>
  </si>
  <si>
    <t xml:space="preserve">      por holding (÷ 2)</t>
  </si>
  <si>
    <t xml:space="preserve">Diluição individual (participação CNP ÷ 2)</t>
  </si>
  <si>
    <t xml:space="preserve">Check: inv. anterior (239,5) + parcela incorporada (690,0) − participação S+J</t>
  </si>
  <si>
    <t xml:space="preserve">CNP Consórcio: extinta na incorporação (balanço zerado). O acervo entra a valor contábil; o risco fiscal está no reflexo que ele gera nas holdings — segregado em 3 camadas na seção 2 (a camada AVJ é a de maior risco).</t>
  </si>
  <si>
    <t xml:space="preserve">4. CASH OUT — VENDA DE 26,2% À CNP (600 POR HOLDING)</t>
  </si>
  <si>
    <t xml:space="preserve">Venda / compra</t>
  </si>
  <si>
    <t xml:space="preserve">Participação final</t>
  </si>
  <si>
    <t xml:space="preserve">Fração alienada do investimento (13,1 ÷ 43,1)</t>
  </si>
  <si>
    <t xml:space="preserve">Ganho de capital no cash out (por holding)</t>
  </si>
  <si>
    <t xml:space="preserve">HIP. A — CUSTO ORIGINAL</t>
  </si>
  <si>
    <t xml:space="preserve">HIP. B — CUSTO INCREMENTADO</t>
  </si>
  <si>
    <t xml:space="preserve">Preço da venda</t>
  </si>
  <si>
    <t xml:space="preserve">(−) Custo alocado (custo × fração alienada)</t>
  </si>
  <si>
    <t xml:space="preserve">(=) Ganho de capital</t>
  </si>
  <si>
    <t xml:space="preserve">IRPJ/CSLL (34%)</t>
  </si>
  <si>
    <t xml:space="preserve">Líquido do imposto (preço − IR)</t>
  </si>
  <si>
    <t xml:space="preserve">Custo remanescente (para a alienação futura)</t>
  </si>
  <si>
    <t xml:space="preserve">CONCLUSÃO DO CASH OUT (TOTAL — 2 HOLDINGS)</t>
  </si>
  <si>
    <t xml:space="preserve">IRPJ/CSLL — Hipótese A</t>
  </si>
  <si>
    <t xml:space="preserve">IRPJ/CSLL — Hipótese B</t>
  </si>
  <si>
    <t xml:space="preserve">Economia da Hipótese B no cash out</t>
  </si>
  <si>
    <t xml:space="preserve">Operação única (primária + secundária simultâneas): no cash out prevalece o custo antigo — a Hipótese A é a leitura conservadora.</t>
  </si>
  <si>
    <t xml:space="preserve">5. ALIENAÇÃO FUTURA — VENDA DO REMANESCENTE (30% POR HOLDING)</t>
  </si>
  <si>
    <t xml:space="preserve">Preço da venda futura — por holding (editável)</t>
  </si>
  <si>
    <t xml:space="preserve">Custo remanescente</t>
  </si>
  <si>
    <t xml:space="preserve">Ganho de capital (preço − custo)</t>
  </si>
  <si>
    <t xml:space="preserve">IRPJ/CSLL (34%; não negativo)</t>
  </si>
  <si>
    <t xml:space="preserve">CONCLUSÃO DA ALIENAÇÃO FUTURA (TOTAL — 2 HOLDINGS)</t>
  </si>
  <si>
    <t xml:space="preserve">Economia de IR da Hipótese B no preço indicado</t>
  </si>
  <si>
    <t xml:space="preserve">Economia máxima (34% × Δ de custo remanescente)</t>
  </si>
  <si>
    <t xml:space="preserve">A economia independe do preço enquanto o ganho for positivo nas duas hipóteses.</t>
  </si>
  <si>
    <t xml:space="preserve">Conclusão — efeitos das duas hipóteses de custo</t>
  </si>
  <si>
    <t xml:space="preserve">SÍNTESE (TOTAL DAS 2 HOLDINGS — R$ MILHÕES)</t>
  </si>
  <si>
    <t xml:space="preserve">Δ (ECONOMIA B)</t>
  </si>
  <si>
    <t xml:space="preserve">Custo do investimento após a incorporação</t>
  </si>
  <si>
    <t xml:space="preserve">IRPJ/CSLL no cash out</t>
  </si>
  <si>
    <t xml:space="preserve">Custo remanescente para a alienação futura</t>
  </si>
  <si>
    <t xml:space="preserve">IRPJ/CSLL na alienação futura (preço editável da aba anterior)</t>
  </si>
  <si>
    <t xml:space="preserve">IRPJ/CSLL total (cash out + alienação futura)</t>
  </si>
  <si>
    <t xml:space="preserve">Benefício máximo da tese do custo "gordinho" (34% × parcela incorporada)</t>
  </si>
  <si>
    <t xml:space="preserve">Check: economia no cash out + economia máxima na alienação − benefício máximo</t>
  </si>
  <si>
    <t xml:space="preserve">LEITURA</t>
  </si>
  <si>
    <t xml:space="preserve">Onde nasce a diferença</t>
  </si>
  <si>
    <t xml:space="preserve">Parcela incorporada de 345,0 por holding (690,0 no total) = reflexo do PL contábil da CNP (419,4) − diluição de 13,8% (74,4). Compõe custo na Hipótese B; não compõe na Hipótese A.</t>
  </si>
  <si>
    <t xml:space="preserve">Risco por camada</t>
  </si>
  <si>
    <t xml:space="preserve">Perda de diluição (33,0): menor controvérsia · reflexo do PL contábil da CNP (472,5): neutralidade defensável (MEP / variação de participação) · reflexo da parcela AVJ implícita (250,5): maior risco de requalificação.</t>
  </si>
  <si>
    <t xml:space="preserve">Enquadramento</t>
  </si>
  <si>
    <t xml:space="preserve">A definição CPC 15 x CPC 19 cabe ao auditor. Sob CPC 19, o AVJ fica "carimbado" a 34% em subconta e a Hipótese B deixa de existir.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</si>
</sst>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#,##0.0;[RED]\(#,##0.0\)"/>
    <numFmt numFmtId="167" formatCode="0.0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Calibri"/>
      <family val="0"/>
      <charset val="1"/>
    </font>
    <font>
      <i val="true"/>
      <sz val="9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9"/>
      <name val="Calibri"/>
      <family val="0"/>
      <charset val="1"/>
    </font>
    <font>
      <b val="true"/>
      <sz val="9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C00000"/>
        <bgColor rgb="FF800000"/>
      </patternFill>
    </fill>
    <fill>
      <patternFill patternType="solid">
        <fgColor rgb="FFEAF0FB"/>
        <bgColor rgb="FFFFFFFF"/>
      </patternFill>
    </fill>
    <fill>
      <patternFill patternType="solid">
        <fgColor rgb="FFFFF2CC"/>
        <bgColor rgb="FFEAF0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9C9"/>
      </left>
      <right style="thin">
        <color rgb="FFC9C9C9"/>
      </right>
      <top style="thin">
        <color rgb="FFC9C9C9"/>
      </top>
      <bottom style="thin">
        <color rgb="FFC9C9C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C9C9"/>
      <rgbColor rgb="FF808080"/>
      <rgbColor rgb="FF9999FF"/>
      <rgbColor rgb="FF993366"/>
      <rgbColor rgb="FFFFF2CC"/>
      <rgbColor rgb="FFEAF0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1</xdr:col>
      <xdr:colOff>1399680</xdr:colOff>
      <xdr:row>0</xdr:row>
      <xdr:rowOff>333000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222120" y="0"/>
          <a:ext cx="1399680" cy="3330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50"/>
    <col collapsed="false" customWidth="true" hidden="false" outlineLevel="0" max="3" min="3" style="0" width="13"/>
    <col collapsed="false" customWidth="true" hidden="false" outlineLevel="0" max="4" min="4" style="0" width="52"/>
  </cols>
  <sheetData>
    <row r="1" customFormat="false" ht="143.25" hidden="false" customHeight="false" outlineLevel="0" collapsed="false">
      <c r="E1" s="1" t="s">
        <v>0</v>
      </c>
    </row>
    <row r="2" customFormat="false" ht="105.95" hidden="false" customHeight="false" outlineLevel="0" collapsed="false">
      <c r="E2" s="2" t="s">
        <v>1</v>
      </c>
    </row>
    <row r="4" customFormat="false" ht="22.35" hidden="false" customHeight="false" outlineLevel="0" collapsed="false">
      <c r="B4" s="2" t="s">
        <v>2</v>
      </c>
    </row>
    <row r="6" customFormat="false" ht="15" hidden="false" customHeight="true" outlineLevel="0" collapsed="false">
      <c r="B6" s="3" t="s">
        <v>3</v>
      </c>
      <c r="C6" s="3"/>
      <c r="D6" s="3"/>
    </row>
    <row r="7" customFormat="false" ht="15" hidden="false" customHeight="false" outlineLevel="0" collapsed="false">
      <c r="B7" s="4" t="s">
        <v>4</v>
      </c>
      <c r="C7" s="5" t="s">
        <v>5</v>
      </c>
      <c r="D7" s="6"/>
    </row>
    <row r="8" customFormat="false" ht="15" hidden="false" customHeight="false" outlineLevel="0" collapsed="false">
      <c r="B8" s="7" t="s">
        <v>6</v>
      </c>
      <c r="C8" s="8" t="n">
        <v>0.138</v>
      </c>
      <c r="D8" s="9" t="s">
        <v>7</v>
      </c>
    </row>
    <row r="9" customFormat="false" ht="15" hidden="false" customHeight="false" outlineLevel="0" collapsed="false">
      <c r="B9" s="4" t="s">
        <v>8</v>
      </c>
      <c r="C9" s="8" t="n">
        <v>0.4</v>
      </c>
      <c r="D9" s="6" t="s">
        <v>9</v>
      </c>
    </row>
    <row r="10" customFormat="false" ht="15" hidden="false" customHeight="false" outlineLevel="0" collapsed="false">
      <c r="B10" s="7" t="s">
        <v>10</v>
      </c>
      <c r="C10" s="8" t="n">
        <v>0.34</v>
      </c>
      <c r="D10" s="9" t="s">
        <v>11</v>
      </c>
    </row>
    <row r="11" customFormat="false" ht="15" hidden="false" customHeight="false" outlineLevel="0" collapsed="false">
      <c r="B11" s="4" t="s">
        <v>12</v>
      </c>
      <c r="C11" s="10" t="n">
        <v>120</v>
      </c>
      <c r="D11" s="6" t="s">
        <v>13</v>
      </c>
    </row>
    <row r="12" customFormat="false" ht="15" hidden="false" customHeight="false" outlineLevel="0" collapsed="false">
      <c r="B12" s="7" t="s">
        <v>14</v>
      </c>
      <c r="C12" s="10" t="n">
        <v>600</v>
      </c>
      <c r="D12" s="9" t="s">
        <v>15</v>
      </c>
    </row>
    <row r="14" customFormat="false" ht="15" hidden="false" customHeight="true" outlineLevel="0" collapsed="false">
      <c r="B14" s="3" t="s">
        <v>16</v>
      </c>
      <c r="C14" s="3"/>
      <c r="D14" s="3"/>
    </row>
    <row r="15" customFormat="false" ht="15" hidden="false" customHeight="false" outlineLevel="0" collapsed="false">
      <c r="B15" s="7" t="s">
        <v>17</v>
      </c>
      <c r="C15" s="10" t="n">
        <v>866</v>
      </c>
      <c r="D15" s="9" t="s">
        <v>18</v>
      </c>
    </row>
    <row r="16" customFormat="false" ht="15" hidden="false" customHeight="false" outlineLevel="0" collapsed="false">
      <c r="B16" s="4" t="s">
        <v>19</v>
      </c>
      <c r="C16" s="10" t="n">
        <v>300</v>
      </c>
      <c r="D16" s="6" t="s">
        <v>20</v>
      </c>
    </row>
    <row r="17" customFormat="false" ht="15" hidden="false" customHeight="false" outlineLevel="0" collapsed="false">
      <c r="B17" s="11" t="s">
        <v>21</v>
      </c>
      <c r="C17" s="12" t="n">
        <f aca="false">C16/C15</f>
        <v>0.346420323325635</v>
      </c>
      <c r="D17" s="9" t="s">
        <v>22</v>
      </c>
    </row>
    <row r="18" customFormat="false" ht="15" hidden="false" customHeight="false" outlineLevel="0" collapsed="false">
      <c r="B18" s="11" t="s">
        <v>23</v>
      </c>
      <c r="C18" s="12" t="n">
        <f aca="false">1-C17</f>
        <v>0.653579676674365</v>
      </c>
      <c r="D18" s="7"/>
    </row>
  </sheetData>
  <mergeCells count="2">
    <mergeCell ref="B6:D6"/>
    <mergeCell ref="B14:D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1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46"/>
    <col collapsed="false" customWidth="true" hidden="false" outlineLevel="0" max="6" min="3" style="0" width="13.5"/>
  </cols>
  <sheetData>
    <row r="1" customFormat="false" ht="29.85" hidden="false" customHeight="false" outlineLevel="0" collapsed="false">
      <c r="B1" s="1" t="s">
        <v>24</v>
      </c>
    </row>
    <row r="3" customFormat="false" ht="15" hidden="false" customHeight="true" outlineLevel="0" collapsed="false">
      <c r="B3" s="3" t="s">
        <v>25</v>
      </c>
      <c r="C3" s="3"/>
      <c r="D3" s="3"/>
      <c r="E3" s="3"/>
      <c r="F3" s="3"/>
    </row>
    <row r="4" customFormat="false" ht="15" hidden="false" customHeight="false" outlineLevel="0" collapsed="false">
      <c r="B4" s="13"/>
      <c r="C4" s="14" t="s">
        <v>26</v>
      </c>
      <c r="D4" s="14" t="s">
        <v>27</v>
      </c>
      <c r="E4" s="14" t="s">
        <v>28</v>
      </c>
      <c r="F4" s="14" t="s">
        <v>29</v>
      </c>
    </row>
    <row r="5" customFormat="false" ht="15" hidden="false" customHeight="false" outlineLevel="0" collapsed="false">
      <c r="B5" s="7" t="s">
        <v>30</v>
      </c>
      <c r="C5" s="15" t="n">
        <f aca="false">C11</f>
        <v>119.744</v>
      </c>
      <c r="D5" s="15" t="n">
        <f aca="false">D11</f>
        <v>119.744</v>
      </c>
      <c r="E5" s="10" t="n">
        <v>26138.03</v>
      </c>
      <c r="F5" s="10" t="n">
        <v>17611.435</v>
      </c>
    </row>
    <row r="6" customFormat="false" ht="15" hidden="false" customHeight="false" outlineLevel="0" collapsed="false">
      <c r="B6" s="4" t="s">
        <v>31</v>
      </c>
      <c r="C6" s="16" t="n">
        <v>0</v>
      </c>
      <c r="D6" s="16" t="n">
        <v>0</v>
      </c>
      <c r="E6" s="10" t="n">
        <v>25898.882</v>
      </c>
      <c r="F6" s="10" t="n">
        <v>16771.856</v>
      </c>
    </row>
    <row r="7" customFormat="false" ht="15" hidden="false" customHeight="false" outlineLevel="0" collapsed="false">
      <c r="B7" s="11" t="s">
        <v>32</v>
      </c>
      <c r="C7" s="17" t="n">
        <f aca="false">E7/2</f>
        <v>119.744</v>
      </c>
      <c r="D7" s="17" t="n">
        <f aca="false">E7/2</f>
        <v>119.744</v>
      </c>
      <c r="E7" s="17" t="n">
        <f aca="false">SUM(E8:E10)</f>
        <v>239.488</v>
      </c>
      <c r="F7" s="17" t="n">
        <f aca="false">SUM(F8:F10)</f>
        <v>838.735</v>
      </c>
    </row>
    <row r="8" customFormat="false" ht="15" hidden="false" customHeight="false" outlineLevel="0" collapsed="false">
      <c r="B8" s="7" t="s">
        <v>33</v>
      </c>
      <c r="C8" s="7"/>
      <c r="D8" s="7"/>
      <c r="E8" s="10" t="n">
        <v>85</v>
      </c>
      <c r="F8" s="10" t="n">
        <v>519</v>
      </c>
    </row>
    <row r="9" customFormat="false" ht="15" hidden="false" customHeight="false" outlineLevel="0" collapsed="false">
      <c r="B9" s="4" t="s">
        <v>34</v>
      </c>
      <c r="C9" s="4"/>
      <c r="D9" s="4"/>
      <c r="E9" s="10" t="n">
        <v>274.488</v>
      </c>
      <c r="F9" s="10" t="n">
        <v>319.735</v>
      </c>
    </row>
    <row r="10" customFormat="false" ht="15" hidden="false" customHeight="false" outlineLevel="0" collapsed="false">
      <c r="B10" s="7" t="s">
        <v>35</v>
      </c>
      <c r="C10" s="7"/>
      <c r="D10" s="7"/>
      <c r="E10" s="15" t="n">
        <f aca="false">-Premissas!$C$11</f>
        <v>-120</v>
      </c>
      <c r="F10" s="7"/>
    </row>
    <row r="11" customFormat="false" ht="15" hidden="false" customHeight="false" outlineLevel="0" collapsed="false">
      <c r="B11" s="11" t="s">
        <v>36</v>
      </c>
      <c r="C11" s="17" t="n">
        <f aca="false">E7/2</f>
        <v>119.744</v>
      </c>
      <c r="D11" s="17" t="n">
        <f aca="false">E7/2</f>
        <v>119.744</v>
      </c>
      <c r="E11" s="7"/>
      <c r="F11" s="7"/>
    </row>
    <row r="12" customFormat="false" ht="15" hidden="false" customHeight="false" outlineLevel="0" collapsed="false">
      <c r="B12" s="13" t="s">
        <v>37</v>
      </c>
      <c r="C12" s="18" t="n">
        <f aca="false">E7+F7</f>
        <v>1078.223</v>
      </c>
      <c r="D12" s="4"/>
      <c r="E12" s="4"/>
      <c r="F12" s="4"/>
    </row>
    <row r="13" customFormat="false" ht="22.35" hidden="false" customHeight="false" outlineLevel="0" collapsed="false">
      <c r="B13" s="2" t="s">
        <v>38</v>
      </c>
    </row>
    <row r="15" customFormat="false" ht="15" hidden="false" customHeight="true" outlineLevel="0" collapsed="false">
      <c r="B15" s="3" t="s">
        <v>39</v>
      </c>
      <c r="C15" s="3"/>
      <c r="D15" s="3"/>
      <c r="E15" s="3"/>
      <c r="F15" s="3"/>
    </row>
    <row r="16" customFormat="false" ht="15" hidden="false" customHeight="false" outlineLevel="0" collapsed="false">
      <c r="B16" s="13"/>
      <c r="C16" s="14" t="s">
        <v>26</v>
      </c>
      <c r="D16" s="14" t="s">
        <v>27</v>
      </c>
      <c r="E16" s="14" t="s">
        <v>29</v>
      </c>
      <c r="F16" s="14" t="s">
        <v>40</v>
      </c>
    </row>
    <row r="17" customFormat="false" ht="15" hidden="false" customHeight="false" outlineLevel="0" collapsed="false">
      <c r="B17" s="7" t="s">
        <v>41</v>
      </c>
      <c r="C17" s="8" t="n">
        <v>0.5</v>
      </c>
      <c r="D17" s="8" t="n">
        <v>0.5</v>
      </c>
      <c r="E17" s="19" t="n">
        <v>0</v>
      </c>
      <c r="F17" s="19" t="n">
        <f aca="false">SUM(C17:E17)</f>
        <v>1</v>
      </c>
    </row>
    <row r="18" customFormat="false" ht="15" hidden="false" customHeight="false" outlineLevel="0" collapsed="false">
      <c r="B18" s="4" t="s">
        <v>42</v>
      </c>
      <c r="C18" s="16" t="n">
        <f aca="false">C11</f>
        <v>119.744</v>
      </c>
      <c r="D18" s="16" t="n">
        <f aca="false">D11</f>
        <v>119.744</v>
      </c>
      <c r="E18" s="4"/>
      <c r="F18" s="16" t="n">
        <f aca="false">C18+D18</f>
        <v>239.488</v>
      </c>
    </row>
    <row r="20" customFormat="false" ht="15" hidden="false" customHeight="true" outlineLevel="0" collapsed="false">
      <c r="B20" s="3" t="s">
        <v>43</v>
      </c>
      <c r="C20" s="3"/>
      <c r="D20" s="3"/>
      <c r="E20" s="3"/>
      <c r="F20" s="3"/>
    </row>
    <row r="21" customFormat="false" ht="15" hidden="false" customHeight="false" outlineLevel="0" collapsed="false">
      <c r="B21" s="13"/>
      <c r="C21" s="14" t="s">
        <v>26</v>
      </c>
      <c r="D21" s="14" t="s">
        <v>27</v>
      </c>
      <c r="E21" s="14" t="s">
        <v>29</v>
      </c>
      <c r="F21" s="14" t="s">
        <v>40</v>
      </c>
    </row>
    <row r="22" customFormat="false" ht="15" hidden="false" customHeight="false" outlineLevel="0" collapsed="false">
      <c r="B22" s="11" t="s">
        <v>44</v>
      </c>
      <c r="C22" s="12" t="n">
        <f aca="false">C17*(1-Premissas!$C$8)</f>
        <v>0.431</v>
      </c>
      <c r="D22" s="12" t="n">
        <f aca="false">D17*(1-Premissas!$C$8)</f>
        <v>0.431</v>
      </c>
      <c r="E22" s="12" t="n">
        <f aca="false">Premissas!$C$8</f>
        <v>0.138</v>
      </c>
      <c r="F22" s="20" t="n">
        <f aca="false">SUM(C22:E22)</f>
        <v>1</v>
      </c>
    </row>
    <row r="24" customFormat="false" ht="22.35" hidden="false" customHeight="false" outlineLevel="0" collapsed="false">
      <c r="B24" s="13" t="s">
        <v>45</v>
      </c>
      <c r="C24" s="14" t="s">
        <v>46</v>
      </c>
      <c r="D24" s="14" t="s">
        <v>47</v>
      </c>
      <c r="E24" s="4"/>
      <c r="F24" s="4"/>
    </row>
    <row r="25" customFormat="false" ht="15" hidden="false" customHeight="false" outlineLevel="0" collapsed="false">
      <c r="B25" s="7" t="s">
        <v>48</v>
      </c>
      <c r="C25" s="15" t="n">
        <f aca="false">C11</f>
        <v>119.744</v>
      </c>
      <c r="D25" s="15" t="n">
        <f aca="false">C25*2</f>
        <v>239.488</v>
      </c>
      <c r="E25" s="7"/>
      <c r="F25" s="7"/>
    </row>
    <row r="26" customFormat="false" ht="15" hidden="false" customHeight="false" outlineLevel="0" collapsed="false">
      <c r="B26" s="7" t="s">
        <v>49</v>
      </c>
      <c r="C26" s="15" t="n">
        <f aca="false">F7/2</f>
        <v>419.3675</v>
      </c>
      <c r="D26" s="15" t="n">
        <f aca="false">C26*2</f>
        <v>838.735</v>
      </c>
      <c r="E26" s="7"/>
      <c r="F26" s="7"/>
    </row>
    <row r="27" customFormat="false" ht="15" hidden="false" customHeight="false" outlineLevel="0" collapsed="false">
      <c r="B27" s="7" t="s">
        <v>50</v>
      </c>
      <c r="C27" s="15" t="n">
        <f aca="false">-(C25+C26)*Premissas!$C$8</f>
        <v>-74.397387</v>
      </c>
      <c r="D27" s="15" t="n">
        <f aca="false">C27*2</f>
        <v>-148.794774</v>
      </c>
      <c r="E27" s="7"/>
      <c r="F27" s="7"/>
    </row>
    <row r="28" customFormat="false" ht="15" hidden="false" customHeight="false" outlineLevel="0" collapsed="false">
      <c r="B28" s="11" t="s">
        <v>51</v>
      </c>
      <c r="C28" s="17" t="n">
        <f aca="false">C26+C27</f>
        <v>344.970113</v>
      </c>
      <c r="D28" s="17" t="n">
        <f aca="false">C28*2</f>
        <v>689.940226</v>
      </c>
      <c r="E28" s="7"/>
      <c r="F28" s="7"/>
    </row>
    <row r="29" customFormat="false" ht="15" hidden="false" customHeight="false" outlineLevel="0" collapsed="false">
      <c r="B29" s="11" t="s">
        <v>52</v>
      </c>
      <c r="C29" s="17" t="n">
        <f aca="false">C25+C28</f>
        <v>464.714113</v>
      </c>
      <c r="D29" s="17" t="n">
        <f aca="false">C29*2</f>
        <v>929.428226</v>
      </c>
      <c r="E29" s="7"/>
      <c r="F29" s="7"/>
    </row>
    <row r="30" customFormat="false" ht="15" hidden="false" customHeight="false" outlineLevel="0" collapsed="false">
      <c r="B30" s="9" t="s">
        <v>53</v>
      </c>
      <c r="C30" s="21" t="n">
        <f aca="false">C22*C12-C29</f>
        <v>0</v>
      </c>
      <c r="D30" s="7"/>
      <c r="E30" s="7"/>
      <c r="F30" s="7"/>
    </row>
    <row r="32" customFormat="false" ht="15" hidden="false" customHeight="false" outlineLevel="0" collapsed="false">
      <c r="B32" s="13" t="s">
        <v>54</v>
      </c>
      <c r="C32" s="14" t="s">
        <v>55</v>
      </c>
      <c r="D32" s="14" t="s">
        <v>56</v>
      </c>
      <c r="E32" s="14" t="s">
        <v>57</v>
      </c>
      <c r="F32" s="4"/>
    </row>
    <row r="33" customFormat="false" ht="15" hidden="false" customHeight="false" outlineLevel="0" collapsed="false">
      <c r="B33" s="7" t="s">
        <v>58</v>
      </c>
      <c r="C33" s="15" t="n">
        <f aca="false">E7</f>
        <v>239.488</v>
      </c>
      <c r="D33" s="15" t="n">
        <f aca="false">C33*(1-Premissas!$C$8)</f>
        <v>206.438656</v>
      </c>
      <c r="E33" s="15" t="n">
        <f aca="false">D33-C33</f>
        <v>-33.049344</v>
      </c>
      <c r="F33" s="7"/>
    </row>
    <row r="34" customFormat="false" ht="15" hidden="false" customHeight="false" outlineLevel="0" collapsed="false">
      <c r="B34" s="7" t="s">
        <v>59</v>
      </c>
      <c r="C34" s="15" t="n">
        <f aca="false">F7*Premissas!$C$18</f>
        <v>548.180150115474</v>
      </c>
      <c r="D34" s="15" t="n">
        <f aca="false">C34*(1-Premissas!$C$8)</f>
        <v>472.531289399538</v>
      </c>
      <c r="E34" s="15" t="n">
        <f aca="false">D34</f>
        <v>472.531289399538</v>
      </c>
      <c r="F34" s="7"/>
    </row>
    <row r="35" customFormat="false" ht="15" hidden="false" customHeight="false" outlineLevel="0" collapsed="false">
      <c r="B35" s="7" t="s">
        <v>60</v>
      </c>
      <c r="C35" s="15" t="n">
        <f aca="false">F7*Premissas!$C$17</f>
        <v>290.554849884527</v>
      </c>
      <c r="D35" s="15" t="n">
        <f aca="false">C35*(1-Premissas!$C$8)</f>
        <v>250.458280600462</v>
      </c>
      <c r="E35" s="15" t="n">
        <f aca="false">D35</f>
        <v>250.458280600462</v>
      </c>
      <c r="F35" s="7"/>
    </row>
    <row r="36" customFormat="false" ht="15" hidden="false" customHeight="false" outlineLevel="0" collapsed="false">
      <c r="B36" s="13" t="s">
        <v>61</v>
      </c>
      <c r="C36" s="18" t="n">
        <f aca="false">SUM(C33:C35)</f>
        <v>1078.223</v>
      </c>
      <c r="D36" s="18" t="n">
        <f aca="false">SUM(D33:D35)</f>
        <v>929.428226</v>
      </c>
      <c r="E36" s="18" t="n">
        <f aca="false">SUM(E33:E35)</f>
        <v>689.940226</v>
      </c>
      <c r="F36" s="4"/>
    </row>
    <row r="38" customFormat="false" ht="15" hidden="false" customHeight="true" outlineLevel="0" collapsed="false">
      <c r="B38" s="3" t="s">
        <v>62</v>
      </c>
      <c r="C38" s="3"/>
      <c r="D38" s="3"/>
      <c r="E38" s="3"/>
      <c r="F38" s="3"/>
    </row>
    <row r="39" customFormat="false" ht="15" hidden="false" customHeight="false" outlineLevel="0" collapsed="false">
      <c r="B39" s="11" t="s">
        <v>63</v>
      </c>
      <c r="C39" s="17" t="n">
        <f aca="false">C11</f>
        <v>119.744</v>
      </c>
      <c r="D39" s="7"/>
      <c r="E39" s="7"/>
      <c r="F39" s="7"/>
    </row>
    <row r="40" customFormat="false" ht="15" hidden="false" customHeight="false" outlineLevel="0" collapsed="false">
      <c r="B40" s="13" t="s">
        <v>64</v>
      </c>
      <c r="C40" s="18" t="n">
        <f aca="false">C29</f>
        <v>464.714113</v>
      </c>
      <c r="D40" s="4"/>
      <c r="E40" s="4"/>
      <c r="F40" s="4"/>
    </row>
    <row r="41" customFormat="false" ht="15" hidden="false" customHeight="false" outlineLevel="0" collapsed="false">
      <c r="B41" s="11" t="s">
        <v>65</v>
      </c>
      <c r="C41" s="17" t="n">
        <f aca="false">D28</f>
        <v>689.940226</v>
      </c>
      <c r="D41" s="7"/>
      <c r="E41" s="7"/>
      <c r="F41" s="7"/>
    </row>
    <row r="43" customFormat="false" ht="15" hidden="false" customHeight="true" outlineLevel="0" collapsed="false">
      <c r="B43" s="3" t="s">
        <v>66</v>
      </c>
      <c r="C43" s="3"/>
      <c r="D43" s="3"/>
      <c r="E43" s="3"/>
      <c r="F43" s="3"/>
    </row>
    <row r="44" customFormat="false" ht="22.35" hidden="false" customHeight="false" outlineLevel="0" collapsed="false">
      <c r="B44" s="13" t="s">
        <v>67</v>
      </c>
      <c r="C44" s="14" t="s">
        <v>68</v>
      </c>
      <c r="D44" s="4"/>
      <c r="E44" s="4"/>
      <c r="F44" s="4"/>
    </row>
    <row r="45" customFormat="false" ht="15" hidden="false" customHeight="false" outlineLevel="0" collapsed="false">
      <c r="B45" s="7" t="s">
        <v>69</v>
      </c>
      <c r="C45" s="10" t="n">
        <v>945.234</v>
      </c>
      <c r="D45" s="7"/>
      <c r="E45" s="7"/>
      <c r="F45" s="7"/>
    </row>
    <row r="46" customFormat="false" ht="15" hidden="false" customHeight="false" outlineLevel="0" collapsed="false">
      <c r="B46" s="7" t="s">
        <v>70</v>
      </c>
      <c r="C46" s="10" t="n">
        <v>216.353</v>
      </c>
      <c r="D46" s="7"/>
      <c r="E46" s="7"/>
      <c r="F46" s="7"/>
    </row>
    <row r="47" customFormat="false" ht="15" hidden="false" customHeight="false" outlineLevel="0" collapsed="false">
      <c r="B47" s="7" t="s">
        <v>71</v>
      </c>
      <c r="C47" s="10" t="n">
        <v>138.693</v>
      </c>
      <c r="D47" s="7"/>
      <c r="E47" s="7"/>
      <c r="F47" s="7"/>
    </row>
    <row r="48" customFormat="false" ht="15" hidden="false" customHeight="false" outlineLevel="0" collapsed="false">
      <c r="B48" s="7" t="s">
        <v>72</v>
      </c>
      <c r="C48" s="10" t="n">
        <v>16311.155</v>
      </c>
      <c r="D48" s="7"/>
      <c r="E48" s="7"/>
      <c r="F48" s="7"/>
    </row>
    <row r="49" customFormat="false" ht="15" hidden="false" customHeight="false" outlineLevel="0" collapsed="false">
      <c r="B49" s="11" t="s">
        <v>73</v>
      </c>
      <c r="C49" s="17" t="n">
        <f aca="false">SUM(C45:C48)</f>
        <v>17611.435</v>
      </c>
      <c r="D49" s="7"/>
      <c r="E49" s="7"/>
      <c r="F49" s="7"/>
    </row>
    <row r="50" customFormat="false" ht="15" hidden="false" customHeight="false" outlineLevel="0" collapsed="false">
      <c r="B50" s="7" t="s">
        <v>74</v>
      </c>
      <c r="C50" s="10" t="n">
        <v>-232.757</v>
      </c>
      <c r="D50" s="7"/>
      <c r="E50" s="7"/>
      <c r="F50" s="7"/>
    </row>
    <row r="51" customFormat="false" ht="15" hidden="false" customHeight="false" outlineLevel="0" collapsed="false">
      <c r="B51" s="7" t="s">
        <v>75</v>
      </c>
      <c r="C51" s="10" t="n">
        <v>-227.944</v>
      </c>
      <c r="D51" s="7"/>
      <c r="E51" s="7"/>
      <c r="F51" s="7"/>
    </row>
    <row r="52" customFormat="false" ht="15" hidden="false" customHeight="false" outlineLevel="0" collapsed="false">
      <c r="B52" s="7" t="s">
        <v>76</v>
      </c>
      <c r="C52" s="15" t="n">
        <f aca="false">-C48</f>
        <v>-16311.155</v>
      </c>
      <c r="D52" s="7"/>
      <c r="E52" s="7"/>
      <c r="F52" s="7"/>
    </row>
    <row r="53" customFormat="false" ht="15" hidden="false" customHeight="false" outlineLevel="0" collapsed="false">
      <c r="B53" s="11" t="s">
        <v>77</v>
      </c>
      <c r="C53" s="17" t="n">
        <f aca="false">SUM(C50:C52)</f>
        <v>-16771.856</v>
      </c>
      <c r="D53" s="7"/>
      <c r="E53" s="7"/>
      <c r="F53" s="7"/>
    </row>
    <row r="54" customFormat="false" ht="15" hidden="false" customHeight="false" outlineLevel="0" collapsed="false">
      <c r="B54" s="13" t="s">
        <v>78</v>
      </c>
      <c r="C54" s="18" t="n">
        <f aca="false">C49+C53</f>
        <v>839.579000000002</v>
      </c>
      <c r="D54" s="4"/>
      <c r="E54" s="4"/>
      <c r="F54" s="4"/>
    </row>
    <row r="55" customFormat="false" ht="22.35" hidden="false" customHeight="false" outlineLevel="0" collapsed="false">
      <c r="B55" s="9" t="s">
        <v>79</v>
      </c>
      <c r="C55" s="21" t="n">
        <f aca="false">C54-F7</f>
        <v>0.844000000001529</v>
      </c>
      <c r="D55" s="7"/>
      <c r="E55" s="7"/>
      <c r="F55" s="7"/>
    </row>
    <row r="57" customFormat="false" ht="22.35" hidden="false" customHeight="false" outlineLevel="0" collapsed="false">
      <c r="B57" s="13" t="s">
        <v>80</v>
      </c>
      <c r="C57" s="14" t="s">
        <v>81</v>
      </c>
      <c r="D57" s="14" t="s">
        <v>82</v>
      </c>
      <c r="E57" s="14" t="s">
        <v>83</v>
      </c>
      <c r="F57" s="4"/>
    </row>
    <row r="58" customFormat="false" ht="15" hidden="false" customHeight="false" outlineLevel="0" collapsed="false">
      <c r="B58" s="7" t="s">
        <v>84</v>
      </c>
      <c r="C58" s="10" t="n">
        <v>328.578</v>
      </c>
      <c r="D58" s="15" t="n">
        <f aca="false">C45</f>
        <v>945.234</v>
      </c>
      <c r="E58" s="15" t="n">
        <f aca="false">C58+D58</f>
        <v>1273.812</v>
      </c>
      <c r="F58" s="7"/>
    </row>
    <row r="59" customFormat="false" ht="15" hidden="false" customHeight="false" outlineLevel="0" collapsed="false">
      <c r="B59" s="7" t="s">
        <v>85</v>
      </c>
      <c r="C59" s="10" t="n">
        <v>1937.402</v>
      </c>
      <c r="D59" s="15" t="n">
        <f aca="false">C46</f>
        <v>216.353</v>
      </c>
      <c r="E59" s="15" t="n">
        <f aca="false">C59+D59</f>
        <v>2153.755</v>
      </c>
      <c r="F59" s="7"/>
    </row>
    <row r="60" customFormat="false" ht="15" hidden="false" customHeight="false" outlineLevel="0" collapsed="false">
      <c r="B60" s="7" t="s">
        <v>86</v>
      </c>
      <c r="C60" s="10" t="n">
        <v>57.986</v>
      </c>
      <c r="D60" s="15" t="n">
        <f aca="false">C47</f>
        <v>138.693</v>
      </c>
      <c r="E60" s="15" t="n">
        <f aca="false">C60+D60</f>
        <v>196.679</v>
      </c>
      <c r="F60" s="7"/>
    </row>
    <row r="61" customFormat="false" ht="15" hidden="false" customHeight="false" outlineLevel="0" collapsed="false">
      <c r="B61" s="7" t="s">
        <v>87</v>
      </c>
      <c r="C61" s="10" t="n">
        <v>23814.064</v>
      </c>
      <c r="D61" s="15" t="n">
        <f aca="false">C48</f>
        <v>16311.155</v>
      </c>
      <c r="E61" s="15" t="n">
        <f aca="false">C61+D61</f>
        <v>40125.219</v>
      </c>
      <c r="F61" s="7"/>
    </row>
    <row r="62" customFormat="false" ht="15" hidden="false" customHeight="false" outlineLevel="0" collapsed="false">
      <c r="B62" s="11" t="s">
        <v>88</v>
      </c>
      <c r="C62" s="17" t="n">
        <f aca="false">SUM(C58:C61)</f>
        <v>26138.03</v>
      </c>
      <c r="D62" s="17" t="n">
        <f aca="false">SUM(D58:D61)</f>
        <v>17611.435</v>
      </c>
      <c r="E62" s="17" t="n">
        <f aca="false">C62+D62</f>
        <v>43749.465</v>
      </c>
      <c r="F62" s="7"/>
    </row>
    <row r="63" customFormat="false" ht="15" hidden="false" customHeight="false" outlineLevel="0" collapsed="false">
      <c r="B63" s="7" t="s">
        <v>89</v>
      </c>
      <c r="C63" s="10" t="n">
        <v>420.06</v>
      </c>
      <c r="D63" s="15" t="n">
        <f aca="false">-C50</f>
        <v>232.757</v>
      </c>
      <c r="E63" s="15" t="n">
        <f aca="false">C63+D63</f>
        <v>652.817</v>
      </c>
      <c r="F63" s="7"/>
    </row>
    <row r="64" customFormat="false" ht="15" hidden="false" customHeight="false" outlineLevel="0" collapsed="false">
      <c r="B64" s="7" t="s">
        <v>90</v>
      </c>
      <c r="C64" s="10" t="n">
        <v>1544.758</v>
      </c>
      <c r="D64" s="15" t="n">
        <f aca="false">-C51</f>
        <v>227.944</v>
      </c>
      <c r="E64" s="15" t="n">
        <f aca="false">C64+D64</f>
        <v>1772.702</v>
      </c>
      <c r="F64" s="7"/>
    </row>
    <row r="65" customFormat="false" ht="15" hidden="false" customHeight="false" outlineLevel="0" collapsed="false">
      <c r="B65" s="7" t="s">
        <v>91</v>
      </c>
      <c r="C65" s="15" t="n">
        <f aca="false">Premissas!$C$11</f>
        <v>120</v>
      </c>
      <c r="D65" s="7"/>
      <c r="E65" s="15" t="n">
        <f aca="false">C65</f>
        <v>120</v>
      </c>
      <c r="F65" s="7"/>
    </row>
    <row r="66" customFormat="false" ht="15" hidden="false" customHeight="false" outlineLevel="0" collapsed="false">
      <c r="B66" s="7" t="s">
        <v>92</v>
      </c>
      <c r="C66" s="15" t="n">
        <f aca="false">C61</f>
        <v>23814.064</v>
      </c>
      <c r="D66" s="15" t="n">
        <f aca="false">D61</f>
        <v>16311.155</v>
      </c>
      <c r="E66" s="15" t="n">
        <f aca="false">C66+D66</f>
        <v>40125.219</v>
      </c>
      <c r="F66" s="7"/>
    </row>
    <row r="67" customFormat="false" ht="15" hidden="false" customHeight="false" outlineLevel="0" collapsed="false">
      <c r="B67" s="11" t="s">
        <v>93</v>
      </c>
      <c r="C67" s="17" t="n">
        <f aca="false">SUM(C63:C66)</f>
        <v>25898.882</v>
      </c>
      <c r="D67" s="17" t="n">
        <f aca="false">SUM(D63:D66)</f>
        <v>16771.856</v>
      </c>
      <c r="E67" s="17" t="n">
        <f aca="false">C67+D67</f>
        <v>42670.738</v>
      </c>
      <c r="F67" s="7"/>
    </row>
    <row r="68" customFormat="false" ht="15" hidden="false" customHeight="false" outlineLevel="0" collapsed="false">
      <c r="B68" s="7" t="s">
        <v>94</v>
      </c>
      <c r="C68" s="15" t="n">
        <f aca="false">E8</f>
        <v>85</v>
      </c>
      <c r="D68" s="15" t="n">
        <f aca="false">F8</f>
        <v>519</v>
      </c>
      <c r="E68" s="15" t="n">
        <f aca="false">C68+D68</f>
        <v>604</v>
      </c>
      <c r="F68" s="7"/>
    </row>
    <row r="69" customFormat="false" ht="15" hidden="false" customHeight="false" outlineLevel="0" collapsed="false">
      <c r="B69" s="7" t="s">
        <v>95</v>
      </c>
      <c r="C69" s="15" t="n">
        <f aca="false">E9</f>
        <v>274.488</v>
      </c>
      <c r="D69" s="15" t="n">
        <f aca="false">F9</f>
        <v>319.735</v>
      </c>
      <c r="E69" s="15" t="n">
        <f aca="false">C69+D69</f>
        <v>594.223</v>
      </c>
      <c r="F69" s="7"/>
    </row>
    <row r="70" customFormat="false" ht="15" hidden="false" customHeight="false" outlineLevel="0" collapsed="false">
      <c r="B70" s="7" t="s">
        <v>96</v>
      </c>
      <c r="C70" s="15" t="n">
        <f aca="false">E10</f>
        <v>-120</v>
      </c>
      <c r="D70" s="7"/>
      <c r="E70" s="15" t="n">
        <f aca="false">C70</f>
        <v>-120</v>
      </c>
      <c r="F70" s="7"/>
    </row>
    <row r="71" customFormat="false" ht="15" hidden="false" customHeight="false" outlineLevel="0" collapsed="false">
      <c r="B71" s="13" t="s">
        <v>97</v>
      </c>
      <c r="C71" s="18" t="n">
        <f aca="false">SUM(C68:C70)</f>
        <v>239.488</v>
      </c>
      <c r="D71" s="18" t="n">
        <f aca="false">SUM(D68:D70)</f>
        <v>838.735</v>
      </c>
      <c r="E71" s="18" t="n">
        <f aca="false">C71+D71</f>
        <v>1078.223</v>
      </c>
      <c r="F71" s="4"/>
    </row>
    <row r="72" customFormat="false" ht="22.35" hidden="false" customHeight="false" outlineLevel="0" collapsed="false">
      <c r="B72" s="9" t="s">
        <v>98</v>
      </c>
      <c r="C72" s="21" t="n">
        <f aca="false">C62-C67-C71</f>
        <v>-0.339999999998952</v>
      </c>
      <c r="D72" s="21" t="n">
        <f aca="false">D62-D67-D71</f>
        <v>0.844000000001529</v>
      </c>
      <c r="E72" s="21" t="n">
        <f aca="false">E62-E67-E71</f>
        <v>0.503999999998996</v>
      </c>
      <c r="F72" s="7"/>
    </row>
    <row r="74" customFormat="false" ht="15" hidden="false" customHeight="false" outlineLevel="0" collapsed="false">
      <c r="B74" s="13" t="s">
        <v>99</v>
      </c>
      <c r="C74" s="14" t="s">
        <v>26</v>
      </c>
      <c r="D74" s="14" t="s">
        <v>27</v>
      </c>
      <c r="E74" s="4"/>
      <c r="F74" s="4"/>
    </row>
    <row r="75" customFormat="false" ht="15" hidden="false" customHeight="false" outlineLevel="0" collapsed="false">
      <c r="B75" s="7" t="s">
        <v>100</v>
      </c>
      <c r="C75" s="15" t="n">
        <f aca="false">C11</f>
        <v>119.744</v>
      </c>
      <c r="D75" s="15" t="n">
        <f aca="false">D11</f>
        <v>119.744</v>
      </c>
      <c r="E75" s="7"/>
      <c r="F75" s="7"/>
    </row>
    <row r="76" customFormat="false" ht="15" hidden="false" customHeight="false" outlineLevel="0" collapsed="false">
      <c r="B76" s="7" t="s">
        <v>101</v>
      </c>
      <c r="C76" s="15" t="n">
        <f aca="false">C26</f>
        <v>419.3675</v>
      </c>
      <c r="D76" s="15" t="n">
        <f aca="false">C26</f>
        <v>419.3675</v>
      </c>
      <c r="E76" s="7"/>
      <c r="F76" s="7"/>
    </row>
    <row r="77" customFormat="false" ht="15" hidden="false" customHeight="false" outlineLevel="0" collapsed="false">
      <c r="B77" s="7" t="s">
        <v>102</v>
      </c>
      <c r="C77" s="15" t="n">
        <f aca="false">C27</f>
        <v>-74.397387</v>
      </c>
      <c r="D77" s="15" t="n">
        <f aca="false">C27</f>
        <v>-74.397387</v>
      </c>
      <c r="E77" s="7"/>
      <c r="F77" s="7"/>
    </row>
    <row r="78" customFormat="false" ht="15" hidden="false" customHeight="false" outlineLevel="0" collapsed="false">
      <c r="B78" s="11" t="s">
        <v>103</v>
      </c>
      <c r="C78" s="17" t="n">
        <f aca="false">SUM(C75:C77)</f>
        <v>464.714113</v>
      </c>
      <c r="D78" s="17" t="n">
        <f aca="false">SUM(D75:D77)</f>
        <v>464.714113</v>
      </c>
      <c r="E78" s="7"/>
      <c r="F78" s="7"/>
    </row>
    <row r="79" customFormat="false" ht="15" hidden="false" customHeight="false" outlineLevel="0" collapsed="false">
      <c r="B79" s="9" t="s">
        <v>104</v>
      </c>
      <c r="C79" s="21" t="n">
        <f aca="false">C22*E71-C78</f>
        <v>0</v>
      </c>
      <c r="D79" s="7"/>
      <c r="E79" s="7"/>
      <c r="F79" s="7"/>
    </row>
    <row r="81" customFormat="false" ht="15" hidden="false" customHeight="false" outlineLevel="0" collapsed="false">
      <c r="B81" s="13" t="s">
        <v>105</v>
      </c>
      <c r="C81" s="14" t="s">
        <v>68</v>
      </c>
      <c r="D81" s="4"/>
      <c r="E81" s="4"/>
      <c r="F81" s="4"/>
    </row>
    <row r="82" customFormat="false" ht="15" hidden="false" customHeight="false" outlineLevel="0" collapsed="false">
      <c r="B82" s="7" t="s">
        <v>106</v>
      </c>
      <c r="C82" s="15" t="n">
        <f aca="false">E71</f>
        <v>1078.223</v>
      </c>
      <c r="D82" s="7"/>
      <c r="E82" s="7"/>
      <c r="F82" s="7"/>
    </row>
    <row r="83" customFormat="false" ht="15" hidden="false" customHeight="false" outlineLevel="0" collapsed="false">
      <c r="B83" s="7" t="s">
        <v>107</v>
      </c>
      <c r="C83" s="15" t="n">
        <f aca="false">E71*Premissas!$C$8</f>
        <v>148.794774</v>
      </c>
      <c r="D83" s="7"/>
      <c r="E83" s="7"/>
      <c r="F83" s="7"/>
    </row>
    <row r="84" customFormat="false" ht="15" hidden="false" customHeight="false" outlineLevel="0" collapsed="false">
      <c r="B84" s="7" t="s">
        <v>108</v>
      </c>
      <c r="C84" s="15" t="n">
        <f aca="false">E71*(1-Premissas!$C$8)</f>
        <v>929.428226</v>
      </c>
      <c r="D84" s="7"/>
      <c r="E84" s="7"/>
      <c r="F84" s="7"/>
    </row>
    <row r="85" customFormat="false" ht="15" hidden="false" customHeight="false" outlineLevel="0" collapsed="false">
      <c r="B85" s="11" t="s">
        <v>109</v>
      </c>
      <c r="C85" s="17" t="n">
        <f aca="false">C84/2</f>
        <v>464.714113</v>
      </c>
      <c r="D85" s="7"/>
      <c r="E85" s="7"/>
      <c r="F85" s="7"/>
    </row>
    <row r="86" customFormat="false" ht="15" hidden="false" customHeight="false" outlineLevel="0" collapsed="false">
      <c r="B86" s="7" t="s">
        <v>110</v>
      </c>
      <c r="C86" s="15" t="n">
        <f aca="false">C83/2</f>
        <v>74.397387</v>
      </c>
      <c r="D86" s="7"/>
      <c r="E86" s="7"/>
      <c r="F86" s="7"/>
    </row>
    <row r="87" customFormat="false" ht="22.35" hidden="false" customHeight="false" outlineLevel="0" collapsed="false">
      <c r="B87" s="9" t="s">
        <v>111</v>
      </c>
      <c r="C87" s="21" t="n">
        <f aca="false">E7+D28-C84</f>
        <v>0</v>
      </c>
      <c r="D87" s="7"/>
      <c r="E87" s="7"/>
      <c r="F87" s="7"/>
    </row>
    <row r="88" customFormat="false" ht="43.25" hidden="false" customHeight="false" outlineLevel="0" collapsed="false">
      <c r="B88" s="2" t="s">
        <v>112</v>
      </c>
    </row>
    <row r="90" customFormat="false" ht="15" hidden="false" customHeight="true" outlineLevel="0" collapsed="false">
      <c r="B90" s="3" t="s">
        <v>113</v>
      </c>
      <c r="C90" s="3"/>
      <c r="D90" s="3"/>
      <c r="E90" s="3"/>
      <c r="F90" s="3"/>
    </row>
    <row r="91" customFormat="false" ht="15" hidden="false" customHeight="false" outlineLevel="0" collapsed="false">
      <c r="B91" s="13"/>
      <c r="C91" s="14" t="s">
        <v>26</v>
      </c>
      <c r="D91" s="14" t="s">
        <v>27</v>
      </c>
      <c r="E91" s="14" t="s">
        <v>29</v>
      </c>
      <c r="F91" s="14" t="s">
        <v>40</v>
      </c>
    </row>
    <row r="92" customFormat="false" ht="15" hidden="false" customHeight="false" outlineLevel="0" collapsed="false">
      <c r="B92" s="7" t="s">
        <v>44</v>
      </c>
      <c r="C92" s="22" t="n">
        <f aca="false">C22</f>
        <v>0.431</v>
      </c>
      <c r="D92" s="22" t="n">
        <f aca="false">D22</f>
        <v>0.431</v>
      </c>
      <c r="E92" s="22" t="n">
        <f aca="false">E22</f>
        <v>0.138</v>
      </c>
      <c r="F92" s="19" t="n">
        <f aca="false">SUM(C92:E92)</f>
        <v>1</v>
      </c>
    </row>
    <row r="93" customFormat="false" ht="15" hidden="false" customHeight="false" outlineLevel="0" collapsed="false">
      <c r="B93" s="4" t="s">
        <v>114</v>
      </c>
      <c r="C93" s="23" t="n">
        <f aca="false">-(Premissas!$C$9-Premissas!$C$8)/2</f>
        <v>-0.131</v>
      </c>
      <c r="D93" s="23" t="n">
        <f aca="false">C93</f>
        <v>-0.131</v>
      </c>
      <c r="E93" s="23" t="n">
        <f aca="false">Premissas!$C$9-Premissas!$C$8</f>
        <v>0.262</v>
      </c>
      <c r="F93" s="24" t="n">
        <f aca="false">SUM(C93:E93)</f>
        <v>0</v>
      </c>
    </row>
    <row r="94" customFormat="false" ht="15" hidden="false" customHeight="false" outlineLevel="0" collapsed="false">
      <c r="B94" s="11" t="s">
        <v>115</v>
      </c>
      <c r="C94" s="20" t="n">
        <f aca="false">C92+C93</f>
        <v>0.3</v>
      </c>
      <c r="D94" s="20" t="n">
        <f aca="false">D92+D93</f>
        <v>0.3</v>
      </c>
      <c r="E94" s="20" t="n">
        <f aca="false">E92+E93</f>
        <v>0.4</v>
      </c>
      <c r="F94" s="20" t="n">
        <f aca="false">SUM(C94:E94)</f>
        <v>1</v>
      </c>
    </row>
    <row r="95" customFormat="false" ht="15" hidden="false" customHeight="false" outlineLevel="0" collapsed="false">
      <c r="B95" s="11" t="s">
        <v>116</v>
      </c>
      <c r="C95" s="12" t="n">
        <f aca="false">-C93/C92</f>
        <v>0.303944315545244</v>
      </c>
      <c r="D95" s="7"/>
      <c r="E95" s="7"/>
      <c r="F95" s="7"/>
    </row>
    <row r="97" customFormat="false" ht="22.35" hidden="false" customHeight="false" outlineLevel="0" collapsed="false">
      <c r="B97" s="13" t="s">
        <v>117</v>
      </c>
      <c r="C97" s="14" t="s">
        <v>118</v>
      </c>
      <c r="D97" s="14" t="s">
        <v>119</v>
      </c>
      <c r="E97" s="4"/>
      <c r="F97" s="4"/>
    </row>
    <row r="98" customFormat="false" ht="15" hidden="false" customHeight="false" outlineLevel="0" collapsed="false">
      <c r="B98" s="7" t="s">
        <v>120</v>
      </c>
      <c r="C98" s="15" t="n">
        <f aca="false">Premissas!$C$12</f>
        <v>600</v>
      </c>
      <c r="D98" s="15" t="n">
        <f aca="false">Premissas!$C$12</f>
        <v>600</v>
      </c>
      <c r="E98" s="7"/>
      <c r="F98" s="7"/>
    </row>
    <row r="99" customFormat="false" ht="15" hidden="false" customHeight="false" outlineLevel="0" collapsed="false">
      <c r="B99" s="7" t="s">
        <v>121</v>
      </c>
      <c r="C99" s="15" t="n">
        <f aca="false">-C11*$C$95</f>
        <v>-36.3955081206497</v>
      </c>
      <c r="D99" s="15" t="n">
        <f aca="false">-C29*$C$95</f>
        <v>-141.247213</v>
      </c>
      <c r="E99" s="7"/>
      <c r="F99" s="7"/>
    </row>
    <row r="100" customFormat="false" ht="15" hidden="false" customHeight="false" outlineLevel="0" collapsed="false">
      <c r="B100" s="7" t="s">
        <v>122</v>
      </c>
      <c r="C100" s="15" t="n">
        <f aca="false">C98+C99</f>
        <v>563.60449187935</v>
      </c>
      <c r="D100" s="15" t="n">
        <f aca="false">D98+D99</f>
        <v>458.752787</v>
      </c>
      <c r="E100" s="7"/>
      <c r="F100" s="7"/>
    </row>
    <row r="101" customFormat="false" ht="15" hidden="false" customHeight="false" outlineLevel="0" collapsed="false">
      <c r="B101" s="11" t="s">
        <v>123</v>
      </c>
      <c r="C101" s="17" t="n">
        <f aca="false">C100*Premissas!$C$10</f>
        <v>191.625527238979</v>
      </c>
      <c r="D101" s="17" t="n">
        <f aca="false">D100*Premissas!$C$10</f>
        <v>155.97594758</v>
      </c>
      <c r="E101" s="7"/>
      <c r="F101" s="7"/>
    </row>
    <row r="102" customFormat="false" ht="15" hidden="false" customHeight="false" outlineLevel="0" collapsed="false">
      <c r="B102" s="7" t="s">
        <v>124</v>
      </c>
      <c r="C102" s="15" t="n">
        <f aca="false">C98-C101</f>
        <v>408.374472761021</v>
      </c>
      <c r="D102" s="15" t="n">
        <f aca="false">D98-D101</f>
        <v>444.02405242</v>
      </c>
      <c r="E102" s="7"/>
      <c r="F102" s="7"/>
    </row>
    <row r="103" customFormat="false" ht="15" hidden="false" customHeight="false" outlineLevel="0" collapsed="false">
      <c r="B103" s="7" t="s">
        <v>125</v>
      </c>
      <c r="C103" s="15" t="n">
        <f aca="false">C11+C99</f>
        <v>83.3484918793504</v>
      </c>
      <c r="D103" s="15" t="n">
        <f aca="false">C29+D99</f>
        <v>323.4669</v>
      </c>
      <c r="E103" s="7"/>
      <c r="F103" s="7"/>
    </row>
    <row r="105" customFormat="false" ht="15" hidden="false" customHeight="true" outlineLevel="0" collapsed="false">
      <c r="B105" s="3" t="s">
        <v>126</v>
      </c>
      <c r="C105" s="3"/>
      <c r="D105" s="3"/>
      <c r="E105" s="3"/>
      <c r="F105" s="3"/>
    </row>
    <row r="106" customFormat="false" ht="15" hidden="false" customHeight="false" outlineLevel="0" collapsed="false">
      <c r="B106" s="11" t="s">
        <v>127</v>
      </c>
      <c r="C106" s="17" t="n">
        <f aca="false">C101*2</f>
        <v>383.251054477958</v>
      </c>
      <c r="D106" s="7"/>
      <c r="E106" s="7"/>
      <c r="F106" s="7"/>
    </row>
    <row r="107" customFormat="false" ht="15" hidden="false" customHeight="false" outlineLevel="0" collapsed="false">
      <c r="B107" s="13" t="s">
        <v>128</v>
      </c>
      <c r="C107" s="18" t="n">
        <f aca="false">D101*2</f>
        <v>311.95189516</v>
      </c>
      <c r="D107" s="4"/>
      <c r="E107" s="4"/>
      <c r="F107" s="4"/>
    </row>
    <row r="108" customFormat="false" ht="15" hidden="false" customHeight="false" outlineLevel="0" collapsed="false">
      <c r="B108" s="11" t="s">
        <v>129</v>
      </c>
      <c r="C108" s="17" t="n">
        <f aca="false">C106-C107</f>
        <v>71.2991593179582</v>
      </c>
      <c r="D108" s="7"/>
      <c r="E108" s="7"/>
      <c r="F108" s="7"/>
    </row>
    <row r="109" customFormat="false" ht="22.35" hidden="false" customHeight="false" outlineLevel="0" collapsed="false">
      <c r="B109" s="2" t="s">
        <v>130</v>
      </c>
    </row>
    <row r="111" customFormat="false" ht="15" hidden="false" customHeight="true" outlineLevel="0" collapsed="false">
      <c r="B111" s="3" t="s">
        <v>131</v>
      </c>
      <c r="C111" s="3"/>
      <c r="D111" s="3"/>
      <c r="E111" s="3"/>
      <c r="F111" s="3"/>
    </row>
    <row r="112" customFormat="false" ht="15" hidden="false" customHeight="false" outlineLevel="0" collapsed="false">
      <c r="B112" s="11" t="s">
        <v>132</v>
      </c>
      <c r="C112" s="25" t="n">
        <v>600</v>
      </c>
      <c r="D112" s="7"/>
      <c r="E112" s="7"/>
      <c r="F112" s="7"/>
    </row>
    <row r="113" customFormat="false" ht="22.35" hidden="false" customHeight="false" outlineLevel="0" collapsed="false">
      <c r="B113" s="13"/>
      <c r="C113" s="14" t="s">
        <v>118</v>
      </c>
      <c r="D113" s="14" t="s">
        <v>119</v>
      </c>
      <c r="E113" s="4"/>
      <c r="F113" s="4"/>
    </row>
    <row r="114" customFormat="false" ht="15" hidden="false" customHeight="false" outlineLevel="0" collapsed="false">
      <c r="B114" s="7" t="s">
        <v>133</v>
      </c>
      <c r="C114" s="15" t="n">
        <f aca="false">C103</f>
        <v>83.3484918793504</v>
      </c>
      <c r="D114" s="15" t="n">
        <f aca="false">D103</f>
        <v>323.4669</v>
      </c>
      <c r="E114" s="7"/>
      <c r="F114" s="7"/>
    </row>
    <row r="115" customFormat="false" ht="15" hidden="false" customHeight="false" outlineLevel="0" collapsed="false">
      <c r="B115" s="7" t="s">
        <v>134</v>
      </c>
      <c r="C115" s="15" t="n">
        <f aca="false">$C$112-C114</f>
        <v>516.65150812065</v>
      </c>
      <c r="D115" s="15" t="n">
        <f aca="false">$C$112-D114</f>
        <v>276.5331</v>
      </c>
      <c r="E115" s="7"/>
      <c r="F115" s="7"/>
    </row>
    <row r="116" customFormat="false" ht="15" hidden="false" customHeight="false" outlineLevel="0" collapsed="false">
      <c r="B116" s="11" t="s">
        <v>135</v>
      </c>
      <c r="C116" s="17" t="n">
        <f aca="false">MAX(0,C115)*Premissas!$C$10</f>
        <v>175.661512761021</v>
      </c>
      <c r="D116" s="17" t="n">
        <f aca="false">MAX(0,D115)*Premissas!$C$10</f>
        <v>94.021254</v>
      </c>
      <c r="E116" s="7"/>
      <c r="F116" s="7"/>
    </row>
    <row r="118" customFormat="false" ht="15" hidden="false" customHeight="true" outlineLevel="0" collapsed="false">
      <c r="B118" s="3" t="s">
        <v>136</v>
      </c>
      <c r="C118" s="3"/>
      <c r="D118" s="3"/>
      <c r="E118" s="3"/>
      <c r="F118" s="3"/>
    </row>
    <row r="119" customFormat="false" ht="15" hidden="false" customHeight="false" outlineLevel="0" collapsed="false">
      <c r="B119" s="11" t="s">
        <v>137</v>
      </c>
      <c r="C119" s="17" t="n">
        <f aca="false">(C116-D116)*2</f>
        <v>163.280517522042</v>
      </c>
      <c r="D119" s="7"/>
      <c r="E119" s="7"/>
      <c r="F119" s="7"/>
    </row>
    <row r="120" customFormat="false" ht="15" hidden="false" customHeight="false" outlineLevel="0" collapsed="false">
      <c r="B120" s="13" t="s">
        <v>138</v>
      </c>
      <c r="C120" s="18" t="n">
        <f aca="false">(D114-C114)*2*Premissas!$C$10</f>
        <v>163.280517522042</v>
      </c>
      <c r="D120" s="4"/>
      <c r="E120" s="4"/>
      <c r="F120" s="4"/>
    </row>
    <row r="121" customFormat="false" ht="22.35" hidden="false" customHeight="false" outlineLevel="0" collapsed="false">
      <c r="B121" s="2" t="s">
        <v>139</v>
      </c>
    </row>
  </sheetData>
  <mergeCells count="9">
    <mergeCell ref="B3:F3"/>
    <mergeCell ref="B15:F15"/>
    <mergeCell ref="B20:F20"/>
    <mergeCell ref="B38:F38"/>
    <mergeCell ref="B43:F43"/>
    <mergeCell ref="B90:F90"/>
    <mergeCell ref="B105:F105"/>
    <mergeCell ref="B111:F111"/>
    <mergeCell ref="B118:F1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50"/>
    <col collapsed="false" customWidth="true" hidden="false" outlineLevel="0" max="5" min="3" style="0" width="15"/>
  </cols>
  <sheetData>
    <row r="1" customFormat="false" ht="15" hidden="false" customHeight="false" outlineLevel="0" collapsed="false">
      <c r="B1" s="1" t="s">
        <v>140</v>
      </c>
    </row>
    <row r="3" customFormat="false" ht="15" hidden="false" customHeight="true" outlineLevel="0" collapsed="false">
      <c r="B3" s="3" t="s">
        <v>141</v>
      </c>
      <c r="C3" s="3"/>
      <c r="D3" s="3"/>
      <c r="E3" s="3"/>
    </row>
    <row r="4" customFormat="false" ht="22.35" hidden="false" customHeight="false" outlineLevel="0" collapsed="false">
      <c r="B4" s="13"/>
      <c r="C4" s="14" t="s">
        <v>118</v>
      </c>
      <c r="D4" s="14" t="s">
        <v>119</v>
      </c>
      <c r="E4" s="14" t="s">
        <v>142</v>
      </c>
    </row>
    <row r="5" customFormat="false" ht="15" hidden="false" customHeight="false" outlineLevel="0" collapsed="false">
      <c r="B5" s="4" t="s">
        <v>143</v>
      </c>
      <c r="C5" s="16" t="n">
        <f aca="false">Contabilização!C11*2</f>
        <v>239.488</v>
      </c>
      <c r="D5" s="16" t="n">
        <f aca="false">Contabilização!C29*2</f>
        <v>929.428226</v>
      </c>
      <c r="E5" s="16" t="n">
        <f aca="false">D5-C5</f>
        <v>689.940226</v>
      </c>
    </row>
    <row r="6" customFormat="false" ht="15" hidden="false" customHeight="false" outlineLevel="0" collapsed="false">
      <c r="B6" s="11" t="s">
        <v>144</v>
      </c>
      <c r="C6" s="17" t="n">
        <f aca="false">Contabilização!C101*2</f>
        <v>383.251054477958</v>
      </c>
      <c r="D6" s="17" t="n">
        <f aca="false">Contabilização!D101*2</f>
        <v>311.95189516</v>
      </c>
      <c r="E6" s="17" t="n">
        <f aca="false">C6-D6</f>
        <v>71.2991593179582</v>
      </c>
    </row>
    <row r="7" customFormat="false" ht="15" hidden="false" customHeight="false" outlineLevel="0" collapsed="false">
      <c r="B7" s="4" t="s">
        <v>145</v>
      </c>
      <c r="C7" s="16" t="n">
        <f aca="false">Contabilização!C103*2</f>
        <v>166.696983758701</v>
      </c>
      <c r="D7" s="16" t="n">
        <f aca="false">Contabilização!D103*2</f>
        <v>646.9338</v>
      </c>
      <c r="E7" s="16" t="n">
        <f aca="false">D7-C7</f>
        <v>480.236816241299</v>
      </c>
    </row>
    <row r="8" customFormat="false" ht="15" hidden="false" customHeight="false" outlineLevel="0" collapsed="false">
      <c r="B8" s="11" t="s">
        <v>146</v>
      </c>
      <c r="C8" s="17" t="n">
        <f aca="false">Contabilização!C116*2</f>
        <v>351.323025522042</v>
      </c>
      <c r="D8" s="17" t="n">
        <f aca="false">Contabilização!D116*2</f>
        <v>188.042508</v>
      </c>
      <c r="E8" s="17" t="n">
        <f aca="false">C8-D8</f>
        <v>163.280517522042</v>
      </c>
    </row>
    <row r="9" customFormat="false" ht="15" hidden="false" customHeight="false" outlineLevel="0" collapsed="false">
      <c r="B9" s="11" t="s">
        <v>147</v>
      </c>
      <c r="C9" s="17" t="n">
        <f aca="false">C6+C8</f>
        <v>734.57408</v>
      </c>
      <c r="D9" s="17" t="n">
        <f aca="false">D6+D8</f>
        <v>499.99440316</v>
      </c>
      <c r="E9" s="17" t="n">
        <f aca="false">C9-D9</f>
        <v>234.57967684</v>
      </c>
    </row>
    <row r="10" customFormat="false" ht="22.35" hidden="false" customHeight="false" outlineLevel="0" collapsed="false">
      <c r="B10" s="13" t="s">
        <v>148</v>
      </c>
      <c r="C10" s="4"/>
      <c r="D10" s="4"/>
      <c r="E10" s="18" t="n">
        <f aca="false">Contabilização!D28*Premissas!$C$10</f>
        <v>234.57967684</v>
      </c>
    </row>
    <row r="11" customFormat="false" ht="22.35" hidden="false" customHeight="false" outlineLevel="0" collapsed="false">
      <c r="B11" s="9" t="s">
        <v>149</v>
      </c>
      <c r="C11" s="7"/>
      <c r="D11" s="7"/>
      <c r="E11" s="21" t="n">
        <f aca="false">E6+Contabilização!C120-E10</f>
        <v>0</v>
      </c>
    </row>
    <row r="13" customFormat="false" ht="15" hidden="false" customHeight="true" outlineLevel="0" collapsed="false">
      <c r="B13" s="3" t="s">
        <v>150</v>
      </c>
      <c r="C13" s="3"/>
      <c r="D13" s="3"/>
      <c r="E13" s="3"/>
    </row>
    <row r="14" customFormat="false" ht="30" hidden="false" customHeight="true" outlineLevel="0" collapsed="false">
      <c r="B14" s="26" t="s">
        <v>151</v>
      </c>
      <c r="C14" s="27" t="s">
        <v>152</v>
      </c>
      <c r="D14" s="27"/>
      <c r="E14" s="27"/>
    </row>
    <row r="15" customFormat="false" ht="30" hidden="false" customHeight="true" outlineLevel="0" collapsed="false">
      <c r="B15" s="26" t="s">
        <v>153</v>
      </c>
      <c r="C15" s="27" t="s">
        <v>154</v>
      </c>
      <c r="D15" s="27"/>
      <c r="E15" s="27"/>
    </row>
    <row r="16" customFormat="false" ht="30" hidden="false" customHeight="true" outlineLevel="0" collapsed="false">
      <c r="B16" s="26" t="s">
        <v>155</v>
      </c>
      <c r="C16" s="27" t="s">
        <v>156</v>
      </c>
      <c r="D16" s="27"/>
      <c r="E16" s="27"/>
    </row>
  </sheetData>
  <mergeCells count="5">
    <mergeCell ref="B3:E3"/>
    <mergeCell ref="B13:E13"/>
    <mergeCell ref="C14:E14"/>
    <mergeCell ref="C15:E15"/>
    <mergeCell ref="C16:E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2026-08-31T10:18:09Z</dcterms:created>
  <dc:creator>openpyxl</dc:creator>
  <dc:description/>
  <dc:language>en-US</dc:language>
  <cp:lastModifiedBy/>
  <dcterms:modified xsi:type="dcterms:W3CDTF">2026-08-31T10:18:09Z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